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WWF_R_27JULY\"/>
    </mc:Choice>
  </mc:AlternateContent>
  <xr:revisionPtr revIDLastSave="0" documentId="13_ncr:1_{4B3B0AB5-4F4F-40F6-9332-64776267131F}" xr6:coauthVersionLast="45" xr6:coauthVersionMax="45" xr10:uidLastSave="{00000000-0000-0000-0000-000000000000}"/>
  <bookViews>
    <workbookView xWindow="-108" yWindow="-108" windowWidth="23256" windowHeight="12576" activeTab="2" xr2:uid="{00000000-000D-0000-FFFF-FFFF00000000}"/>
  </bookViews>
  <sheets>
    <sheet name="BASE_IN" sheetId="62" r:id="rId1"/>
    <sheet name="FUTURE_IN" sheetId="1" r:id="rId2"/>
    <sheet name="BASE_OUT_AR5" sheetId="81" r:id="rId3"/>
    <sheet name="AR6" sheetId="104" r:id="rId4"/>
    <sheet name="BASE_OUT_AR6" sheetId="84" r:id="rId5"/>
    <sheet name="RCP_OUT" sheetId="82" r:id="rId6"/>
    <sheet name="SSP_OUT" sheetId="83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104" l="1"/>
  <c r="C10" i="104"/>
  <c r="AB10" i="104"/>
  <c r="AA10" i="104"/>
  <c r="V10" i="104"/>
  <c r="U10" i="104"/>
  <c r="P10" i="104"/>
  <c r="O10" i="104"/>
  <c r="J10" i="104"/>
  <c r="I10" i="104"/>
  <c r="P103" i="104" l="1"/>
  <c r="B124" i="104"/>
  <c r="C124" i="104"/>
  <c r="D124" i="104"/>
  <c r="E124" i="104"/>
  <c r="H124" i="104"/>
  <c r="I124" i="104"/>
  <c r="J124" i="104"/>
  <c r="K124" i="104"/>
  <c r="N124" i="104"/>
  <c r="O124" i="104"/>
  <c r="P124" i="104"/>
  <c r="Q124" i="104"/>
  <c r="T124" i="104"/>
  <c r="U124" i="104"/>
  <c r="V124" i="104"/>
  <c r="W124" i="104"/>
  <c r="Z124" i="104"/>
  <c r="AA124" i="104"/>
  <c r="AB124" i="104"/>
  <c r="AC124" i="104"/>
  <c r="B125" i="104"/>
  <c r="C125" i="104"/>
  <c r="D125" i="104"/>
  <c r="E125" i="104"/>
  <c r="H125" i="104"/>
  <c r="I125" i="104"/>
  <c r="J125" i="104"/>
  <c r="K125" i="104"/>
  <c r="N125" i="104"/>
  <c r="O125" i="104"/>
  <c r="P125" i="104"/>
  <c r="Q125" i="104"/>
  <c r="T125" i="104"/>
  <c r="U125" i="104"/>
  <c r="V125" i="104"/>
  <c r="W125" i="104"/>
  <c r="Z125" i="104"/>
  <c r="AA125" i="104"/>
  <c r="AB125" i="104"/>
  <c r="AC125" i="104"/>
  <c r="B126" i="104"/>
  <c r="C126" i="104"/>
  <c r="D126" i="104"/>
  <c r="E126" i="104"/>
  <c r="H126" i="104"/>
  <c r="I126" i="104"/>
  <c r="J126" i="104"/>
  <c r="K126" i="104"/>
  <c r="N126" i="104"/>
  <c r="O126" i="104"/>
  <c r="P126" i="104"/>
  <c r="Q126" i="104"/>
  <c r="T126" i="104"/>
  <c r="U126" i="104"/>
  <c r="V126" i="104"/>
  <c r="W126" i="104"/>
  <c r="Z126" i="104"/>
  <c r="AA126" i="104"/>
  <c r="AB126" i="104"/>
  <c r="AC126" i="104"/>
  <c r="B127" i="104"/>
  <c r="C127" i="104"/>
  <c r="D127" i="104"/>
  <c r="E127" i="104"/>
  <c r="H127" i="104"/>
  <c r="I127" i="104"/>
  <c r="J127" i="104"/>
  <c r="K127" i="104"/>
  <c r="N127" i="104"/>
  <c r="O127" i="104"/>
  <c r="P127" i="104"/>
  <c r="Q127" i="104"/>
  <c r="T127" i="104"/>
  <c r="U127" i="104"/>
  <c r="V127" i="104"/>
  <c r="W127" i="104"/>
  <c r="Z127" i="104"/>
  <c r="AA127" i="104"/>
  <c r="AB127" i="104"/>
  <c r="AC127" i="104"/>
  <c r="B128" i="104"/>
  <c r="C128" i="104"/>
  <c r="D128" i="104"/>
  <c r="E128" i="104"/>
  <c r="H128" i="104"/>
  <c r="I128" i="104"/>
  <c r="J128" i="104"/>
  <c r="K128" i="104"/>
  <c r="N128" i="104"/>
  <c r="O128" i="104"/>
  <c r="P128" i="104"/>
  <c r="Q128" i="104"/>
  <c r="T128" i="104"/>
  <c r="U128" i="104"/>
  <c r="V128" i="104"/>
  <c r="W128" i="104"/>
  <c r="Z128" i="104"/>
  <c r="AA128" i="104"/>
  <c r="AB128" i="104"/>
  <c r="AC128" i="104"/>
  <c r="B129" i="104"/>
  <c r="C129" i="104"/>
  <c r="D129" i="104"/>
  <c r="E129" i="104"/>
  <c r="H129" i="104"/>
  <c r="I129" i="104"/>
  <c r="J129" i="104"/>
  <c r="K129" i="104"/>
  <c r="N129" i="104"/>
  <c r="O129" i="104"/>
  <c r="P129" i="104"/>
  <c r="Q129" i="104"/>
  <c r="T129" i="104"/>
  <c r="U129" i="104"/>
  <c r="V129" i="104"/>
  <c r="W129" i="104"/>
  <c r="Z129" i="104"/>
  <c r="AA129" i="104"/>
  <c r="AB129" i="104"/>
  <c r="AC129" i="104"/>
  <c r="B130" i="104"/>
  <c r="C130" i="104"/>
  <c r="D130" i="104"/>
  <c r="E130" i="104"/>
  <c r="H130" i="104"/>
  <c r="I130" i="104"/>
  <c r="J130" i="104"/>
  <c r="K130" i="104"/>
  <c r="N130" i="104"/>
  <c r="O130" i="104"/>
  <c r="P130" i="104"/>
  <c r="Q130" i="104"/>
  <c r="T130" i="104"/>
  <c r="U130" i="104"/>
  <c r="V130" i="104"/>
  <c r="W130" i="104"/>
  <c r="Z130" i="104"/>
  <c r="AA130" i="104"/>
  <c r="AB130" i="104"/>
  <c r="AC130" i="104"/>
  <c r="C123" i="104"/>
  <c r="D123" i="104"/>
  <c r="E123" i="104"/>
  <c r="H123" i="104"/>
  <c r="I123" i="104"/>
  <c r="J123" i="104"/>
  <c r="K123" i="104"/>
  <c r="N123" i="104"/>
  <c r="O123" i="104"/>
  <c r="P123" i="104"/>
  <c r="Q123" i="104"/>
  <c r="T123" i="104"/>
  <c r="U123" i="104"/>
  <c r="V123" i="104"/>
  <c r="W123" i="104"/>
  <c r="Z123" i="104"/>
  <c r="AA123" i="104"/>
  <c r="AB123" i="104"/>
  <c r="AC123" i="104"/>
  <c r="B123" i="104"/>
  <c r="B114" i="104"/>
  <c r="C114" i="104"/>
  <c r="D114" i="104"/>
  <c r="E114" i="104"/>
  <c r="H114" i="104"/>
  <c r="I114" i="104"/>
  <c r="J114" i="104"/>
  <c r="K114" i="104"/>
  <c r="N114" i="104"/>
  <c r="O114" i="104"/>
  <c r="P114" i="104"/>
  <c r="Q114" i="104"/>
  <c r="T114" i="104"/>
  <c r="U114" i="104"/>
  <c r="V114" i="104"/>
  <c r="W114" i="104"/>
  <c r="Z114" i="104"/>
  <c r="AA114" i="104"/>
  <c r="AB114" i="104"/>
  <c r="AC114" i="104"/>
  <c r="B115" i="104"/>
  <c r="C115" i="104"/>
  <c r="D115" i="104"/>
  <c r="E115" i="104"/>
  <c r="H115" i="104"/>
  <c r="I115" i="104"/>
  <c r="J115" i="104"/>
  <c r="K115" i="104"/>
  <c r="N115" i="104"/>
  <c r="O115" i="104"/>
  <c r="P115" i="104"/>
  <c r="Q115" i="104"/>
  <c r="T115" i="104"/>
  <c r="U115" i="104"/>
  <c r="V115" i="104"/>
  <c r="W115" i="104"/>
  <c r="Z115" i="104"/>
  <c r="AA115" i="104"/>
  <c r="AB115" i="104"/>
  <c r="AC115" i="104"/>
  <c r="B116" i="104"/>
  <c r="C116" i="104"/>
  <c r="D116" i="104"/>
  <c r="E116" i="104"/>
  <c r="H116" i="104"/>
  <c r="I116" i="104"/>
  <c r="J116" i="104"/>
  <c r="K116" i="104"/>
  <c r="N116" i="104"/>
  <c r="O116" i="104"/>
  <c r="P116" i="104"/>
  <c r="Q116" i="104"/>
  <c r="T116" i="104"/>
  <c r="U116" i="104"/>
  <c r="V116" i="104"/>
  <c r="W116" i="104"/>
  <c r="Z116" i="104"/>
  <c r="AA116" i="104"/>
  <c r="AB116" i="104"/>
  <c r="AC116" i="104"/>
  <c r="B117" i="104"/>
  <c r="C117" i="104"/>
  <c r="D117" i="104"/>
  <c r="E117" i="104"/>
  <c r="H117" i="104"/>
  <c r="I117" i="104"/>
  <c r="J117" i="104"/>
  <c r="K117" i="104"/>
  <c r="N117" i="104"/>
  <c r="O117" i="104"/>
  <c r="P117" i="104"/>
  <c r="Q117" i="104"/>
  <c r="T117" i="104"/>
  <c r="U117" i="104"/>
  <c r="V117" i="104"/>
  <c r="W117" i="104"/>
  <c r="Z117" i="104"/>
  <c r="AA117" i="104"/>
  <c r="AB117" i="104"/>
  <c r="AC117" i="104"/>
  <c r="B118" i="104"/>
  <c r="C118" i="104"/>
  <c r="D118" i="104"/>
  <c r="E118" i="104"/>
  <c r="H118" i="104"/>
  <c r="I118" i="104"/>
  <c r="J118" i="104"/>
  <c r="K118" i="104"/>
  <c r="N118" i="104"/>
  <c r="O118" i="104"/>
  <c r="P118" i="104"/>
  <c r="Q118" i="104"/>
  <c r="T118" i="104"/>
  <c r="U118" i="104"/>
  <c r="V118" i="104"/>
  <c r="W118" i="104"/>
  <c r="Z118" i="104"/>
  <c r="AA118" i="104"/>
  <c r="AB118" i="104"/>
  <c r="AC118" i="104"/>
  <c r="B119" i="104"/>
  <c r="C119" i="104"/>
  <c r="D119" i="104"/>
  <c r="E119" i="104"/>
  <c r="H119" i="104"/>
  <c r="I119" i="104"/>
  <c r="J119" i="104"/>
  <c r="K119" i="104"/>
  <c r="N119" i="104"/>
  <c r="O119" i="104"/>
  <c r="P119" i="104"/>
  <c r="Q119" i="104"/>
  <c r="T119" i="104"/>
  <c r="U119" i="104"/>
  <c r="V119" i="104"/>
  <c r="W119" i="104"/>
  <c r="Z119" i="104"/>
  <c r="AA119" i="104"/>
  <c r="AB119" i="104"/>
  <c r="AC119" i="104"/>
  <c r="B120" i="104"/>
  <c r="C120" i="104"/>
  <c r="D120" i="104"/>
  <c r="E120" i="104"/>
  <c r="H120" i="104"/>
  <c r="I120" i="104"/>
  <c r="J120" i="104"/>
  <c r="K120" i="104"/>
  <c r="N120" i="104"/>
  <c r="O120" i="104"/>
  <c r="P120" i="104"/>
  <c r="Q120" i="104"/>
  <c r="T120" i="104"/>
  <c r="U120" i="104"/>
  <c r="V120" i="104"/>
  <c r="W120" i="104"/>
  <c r="Z120" i="104"/>
  <c r="AA120" i="104"/>
  <c r="AB120" i="104"/>
  <c r="AC120" i="104"/>
  <c r="C113" i="104"/>
  <c r="D113" i="104"/>
  <c r="E113" i="104"/>
  <c r="H113" i="104"/>
  <c r="I113" i="104"/>
  <c r="J113" i="104"/>
  <c r="K113" i="104"/>
  <c r="N113" i="104"/>
  <c r="O113" i="104"/>
  <c r="P113" i="104"/>
  <c r="Q113" i="104"/>
  <c r="T113" i="104"/>
  <c r="U113" i="104"/>
  <c r="V113" i="104"/>
  <c r="W113" i="104"/>
  <c r="Z113" i="104"/>
  <c r="AA113" i="104"/>
  <c r="AB113" i="104"/>
  <c r="AC113" i="104"/>
  <c r="B113" i="104"/>
  <c r="C103" i="104"/>
  <c r="D103" i="104"/>
  <c r="E103" i="104"/>
  <c r="H103" i="104"/>
  <c r="I103" i="104"/>
  <c r="J103" i="104"/>
  <c r="K103" i="104"/>
  <c r="N103" i="104"/>
  <c r="O103" i="104"/>
  <c r="Q103" i="104"/>
  <c r="T103" i="104"/>
  <c r="U103" i="104"/>
  <c r="V103" i="104"/>
  <c r="W103" i="104"/>
  <c r="Z103" i="104"/>
  <c r="AA103" i="104"/>
  <c r="AB103" i="104"/>
  <c r="AC103" i="104"/>
  <c r="C104" i="104"/>
  <c r="D104" i="104"/>
  <c r="E104" i="104"/>
  <c r="H104" i="104"/>
  <c r="I104" i="104"/>
  <c r="J104" i="104"/>
  <c r="K104" i="104"/>
  <c r="N104" i="104"/>
  <c r="O104" i="104"/>
  <c r="P104" i="104"/>
  <c r="Q104" i="104"/>
  <c r="T104" i="104"/>
  <c r="U104" i="104"/>
  <c r="V104" i="104"/>
  <c r="W104" i="104"/>
  <c r="Z104" i="104"/>
  <c r="AA104" i="104"/>
  <c r="AB104" i="104"/>
  <c r="AC104" i="104"/>
  <c r="C105" i="104"/>
  <c r="D105" i="104"/>
  <c r="E105" i="104"/>
  <c r="H105" i="104"/>
  <c r="I105" i="104"/>
  <c r="J105" i="104"/>
  <c r="K105" i="104"/>
  <c r="N105" i="104"/>
  <c r="O105" i="104"/>
  <c r="P105" i="104"/>
  <c r="Q105" i="104"/>
  <c r="T105" i="104"/>
  <c r="U105" i="104"/>
  <c r="V105" i="104"/>
  <c r="W105" i="104"/>
  <c r="Z105" i="104"/>
  <c r="AA105" i="104"/>
  <c r="AB105" i="104"/>
  <c r="AC105" i="104"/>
  <c r="C106" i="104"/>
  <c r="D106" i="104"/>
  <c r="E106" i="104"/>
  <c r="H106" i="104"/>
  <c r="I106" i="104"/>
  <c r="J106" i="104"/>
  <c r="K106" i="104"/>
  <c r="N106" i="104"/>
  <c r="O106" i="104"/>
  <c r="P106" i="104"/>
  <c r="Q106" i="104"/>
  <c r="T106" i="104"/>
  <c r="U106" i="104"/>
  <c r="V106" i="104"/>
  <c r="W106" i="104"/>
  <c r="Z106" i="104"/>
  <c r="AA106" i="104"/>
  <c r="AB106" i="104"/>
  <c r="AC106" i="104"/>
  <c r="C107" i="104"/>
  <c r="D107" i="104"/>
  <c r="E107" i="104"/>
  <c r="H107" i="104"/>
  <c r="I107" i="104"/>
  <c r="J107" i="104"/>
  <c r="K107" i="104"/>
  <c r="N107" i="104"/>
  <c r="O107" i="104"/>
  <c r="P107" i="104"/>
  <c r="Q107" i="104"/>
  <c r="T107" i="104"/>
  <c r="U107" i="104"/>
  <c r="V107" i="104"/>
  <c r="W107" i="104"/>
  <c r="Z107" i="104"/>
  <c r="AA107" i="104"/>
  <c r="AB107" i="104"/>
  <c r="AC107" i="104"/>
  <c r="C108" i="104"/>
  <c r="D108" i="104"/>
  <c r="E108" i="104"/>
  <c r="H108" i="104"/>
  <c r="I108" i="104"/>
  <c r="J108" i="104"/>
  <c r="K108" i="104"/>
  <c r="N108" i="104"/>
  <c r="O108" i="104"/>
  <c r="P108" i="104"/>
  <c r="Q108" i="104"/>
  <c r="T108" i="104"/>
  <c r="U108" i="104"/>
  <c r="V108" i="104"/>
  <c r="W108" i="104"/>
  <c r="Z108" i="104"/>
  <c r="AA108" i="104"/>
  <c r="AB108" i="104"/>
  <c r="AC108" i="104"/>
  <c r="C109" i="104"/>
  <c r="D109" i="104"/>
  <c r="E109" i="104"/>
  <c r="H109" i="104"/>
  <c r="I109" i="104"/>
  <c r="J109" i="104"/>
  <c r="K109" i="104"/>
  <c r="N109" i="104"/>
  <c r="O109" i="104"/>
  <c r="P109" i="104"/>
  <c r="Q109" i="104"/>
  <c r="T109" i="104"/>
  <c r="U109" i="104"/>
  <c r="V109" i="104"/>
  <c r="W109" i="104"/>
  <c r="Z109" i="104"/>
  <c r="AA109" i="104"/>
  <c r="AB109" i="104"/>
  <c r="AC109" i="104"/>
  <c r="C110" i="104"/>
  <c r="D110" i="104"/>
  <c r="E110" i="104"/>
  <c r="H110" i="104"/>
  <c r="I110" i="104"/>
  <c r="J110" i="104"/>
  <c r="K110" i="104"/>
  <c r="N110" i="104"/>
  <c r="O110" i="104"/>
  <c r="P110" i="104"/>
  <c r="Q110" i="104"/>
  <c r="T110" i="104"/>
  <c r="U110" i="104"/>
  <c r="V110" i="104"/>
  <c r="W110" i="104"/>
  <c r="Z110" i="104"/>
  <c r="AA110" i="104"/>
  <c r="AB110" i="104"/>
  <c r="AC110" i="104"/>
  <c r="B104" i="104"/>
  <c r="B105" i="104"/>
  <c r="B106" i="104"/>
  <c r="B107" i="104"/>
  <c r="B108" i="104"/>
  <c r="B109" i="104"/>
  <c r="B110" i="104"/>
  <c r="B103" i="104"/>
  <c r="B94" i="104"/>
  <c r="C94" i="104"/>
  <c r="D94" i="104"/>
  <c r="E94" i="104"/>
  <c r="H94" i="104"/>
  <c r="I94" i="104"/>
  <c r="J94" i="104"/>
  <c r="K94" i="104"/>
  <c r="N94" i="104"/>
  <c r="O94" i="104"/>
  <c r="P94" i="104"/>
  <c r="Q94" i="104"/>
  <c r="T94" i="104"/>
  <c r="U94" i="104"/>
  <c r="V94" i="104"/>
  <c r="W94" i="104"/>
  <c r="Z94" i="104"/>
  <c r="AA94" i="104"/>
  <c r="AB94" i="104"/>
  <c r="AC94" i="104"/>
  <c r="B95" i="104"/>
  <c r="C95" i="104"/>
  <c r="D95" i="104"/>
  <c r="E95" i="104"/>
  <c r="H95" i="104"/>
  <c r="I95" i="104"/>
  <c r="J95" i="104"/>
  <c r="K95" i="104"/>
  <c r="N95" i="104"/>
  <c r="O95" i="104"/>
  <c r="P95" i="104"/>
  <c r="Q95" i="104"/>
  <c r="T95" i="104"/>
  <c r="U95" i="104"/>
  <c r="V95" i="104"/>
  <c r="W95" i="104"/>
  <c r="Z95" i="104"/>
  <c r="AA95" i="104"/>
  <c r="AB95" i="104"/>
  <c r="AC95" i="104"/>
  <c r="B96" i="104"/>
  <c r="C96" i="104"/>
  <c r="D96" i="104"/>
  <c r="E96" i="104"/>
  <c r="H96" i="104"/>
  <c r="I96" i="104"/>
  <c r="J96" i="104"/>
  <c r="K96" i="104"/>
  <c r="N96" i="104"/>
  <c r="O96" i="104"/>
  <c r="P96" i="104"/>
  <c r="Q96" i="104"/>
  <c r="T96" i="104"/>
  <c r="U96" i="104"/>
  <c r="V96" i="104"/>
  <c r="W96" i="104"/>
  <c r="Z96" i="104"/>
  <c r="AA96" i="104"/>
  <c r="AB96" i="104"/>
  <c r="AC96" i="104"/>
  <c r="B97" i="104"/>
  <c r="C97" i="104"/>
  <c r="D97" i="104"/>
  <c r="E97" i="104"/>
  <c r="H97" i="104"/>
  <c r="I97" i="104"/>
  <c r="J97" i="104"/>
  <c r="K97" i="104"/>
  <c r="N97" i="104"/>
  <c r="O97" i="104"/>
  <c r="P97" i="104"/>
  <c r="Q97" i="104"/>
  <c r="T97" i="104"/>
  <c r="U97" i="104"/>
  <c r="V97" i="104"/>
  <c r="W97" i="104"/>
  <c r="Z97" i="104"/>
  <c r="AA97" i="104"/>
  <c r="AB97" i="104"/>
  <c r="AC97" i="104"/>
  <c r="B98" i="104"/>
  <c r="C98" i="104"/>
  <c r="D98" i="104"/>
  <c r="E98" i="104"/>
  <c r="H98" i="104"/>
  <c r="I98" i="104"/>
  <c r="J98" i="104"/>
  <c r="K98" i="104"/>
  <c r="N98" i="104"/>
  <c r="O98" i="104"/>
  <c r="P98" i="104"/>
  <c r="Q98" i="104"/>
  <c r="T98" i="104"/>
  <c r="U98" i="104"/>
  <c r="V98" i="104"/>
  <c r="W98" i="104"/>
  <c r="Z98" i="104"/>
  <c r="AA98" i="104"/>
  <c r="AB98" i="104"/>
  <c r="AC98" i="104"/>
  <c r="B99" i="104"/>
  <c r="C99" i="104"/>
  <c r="D99" i="104"/>
  <c r="E99" i="104"/>
  <c r="H99" i="104"/>
  <c r="I99" i="104"/>
  <c r="J99" i="104"/>
  <c r="K99" i="104"/>
  <c r="N99" i="104"/>
  <c r="O99" i="104"/>
  <c r="P99" i="104"/>
  <c r="Q99" i="104"/>
  <c r="T99" i="104"/>
  <c r="U99" i="104"/>
  <c r="V99" i="104"/>
  <c r="W99" i="104"/>
  <c r="Z99" i="104"/>
  <c r="AA99" i="104"/>
  <c r="AB99" i="104"/>
  <c r="AC99" i="104"/>
  <c r="B100" i="104"/>
  <c r="C100" i="104"/>
  <c r="D100" i="104"/>
  <c r="E100" i="104"/>
  <c r="H100" i="104"/>
  <c r="I100" i="104"/>
  <c r="J100" i="104"/>
  <c r="K100" i="104"/>
  <c r="N100" i="104"/>
  <c r="O100" i="104"/>
  <c r="P100" i="104"/>
  <c r="Q100" i="104"/>
  <c r="T100" i="104"/>
  <c r="U100" i="104"/>
  <c r="V100" i="104"/>
  <c r="W100" i="104"/>
  <c r="Z100" i="104"/>
  <c r="AA100" i="104"/>
  <c r="AB100" i="104"/>
  <c r="AC100" i="104"/>
  <c r="C93" i="104"/>
  <c r="D93" i="104"/>
  <c r="E93" i="104"/>
  <c r="H93" i="104"/>
  <c r="I93" i="104"/>
  <c r="J93" i="104"/>
  <c r="K93" i="104"/>
  <c r="N93" i="104"/>
  <c r="O93" i="104"/>
  <c r="P93" i="104"/>
  <c r="Q93" i="104"/>
  <c r="T93" i="104"/>
  <c r="U93" i="104"/>
  <c r="V93" i="104"/>
  <c r="W93" i="104"/>
  <c r="Z93" i="104"/>
  <c r="AA93" i="104"/>
  <c r="AB93" i="104"/>
  <c r="AC93" i="104"/>
  <c r="B93" i="104"/>
  <c r="B83" i="104"/>
  <c r="C83" i="104"/>
  <c r="D83" i="104"/>
  <c r="E83" i="104"/>
  <c r="H83" i="104"/>
  <c r="I83" i="104"/>
  <c r="J83" i="104"/>
  <c r="K83" i="104"/>
  <c r="N83" i="104"/>
  <c r="O83" i="104"/>
  <c r="P83" i="104"/>
  <c r="Q83" i="104"/>
  <c r="T83" i="104"/>
  <c r="U83" i="104"/>
  <c r="V83" i="104"/>
  <c r="W83" i="104"/>
  <c r="Z83" i="104"/>
  <c r="AA83" i="104"/>
  <c r="AB83" i="104"/>
  <c r="AC83" i="104"/>
  <c r="B84" i="104"/>
  <c r="C84" i="104"/>
  <c r="D84" i="104"/>
  <c r="E84" i="104"/>
  <c r="H84" i="104"/>
  <c r="I84" i="104"/>
  <c r="J84" i="104"/>
  <c r="K84" i="104"/>
  <c r="N84" i="104"/>
  <c r="O84" i="104"/>
  <c r="P84" i="104"/>
  <c r="Q84" i="104"/>
  <c r="T84" i="104"/>
  <c r="U84" i="104"/>
  <c r="V84" i="104"/>
  <c r="W84" i="104"/>
  <c r="Z84" i="104"/>
  <c r="AA84" i="104"/>
  <c r="AB84" i="104"/>
  <c r="AC84" i="104"/>
  <c r="B85" i="104"/>
  <c r="C85" i="104"/>
  <c r="D85" i="104"/>
  <c r="E85" i="104"/>
  <c r="H85" i="104"/>
  <c r="I85" i="104"/>
  <c r="J85" i="104"/>
  <c r="K85" i="104"/>
  <c r="N85" i="104"/>
  <c r="O85" i="104"/>
  <c r="P85" i="104"/>
  <c r="Q85" i="104"/>
  <c r="T85" i="104"/>
  <c r="U85" i="104"/>
  <c r="V85" i="104"/>
  <c r="W85" i="104"/>
  <c r="Z85" i="104"/>
  <c r="AA85" i="104"/>
  <c r="AB85" i="104"/>
  <c r="AC85" i="104"/>
  <c r="B86" i="104"/>
  <c r="C86" i="104"/>
  <c r="D86" i="104"/>
  <c r="E86" i="104"/>
  <c r="H86" i="104"/>
  <c r="I86" i="104"/>
  <c r="J86" i="104"/>
  <c r="K86" i="104"/>
  <c r="N86" i="104"/>
  <c r="O86" i="104"/>
  <c r="P86" i="104"/>
  <c r="Q86" i="104"/>
  <c r="T86" i="104"/>
  <c r="U86" i="104"/>
  <c r="V86" i="104"/>
  <c r="W86" i="104"/>
  <c r="Z86" i="104"/>
  <c r="AA86" i="104"/>
  <c r="AB86" i="104"/>
  <c r="AC86" i="104"/>
  <c r="B87" i="104"/>
  <c r="C87" i="104"/>
  <c r="D87" i="104"/>
  <c r="E87" i="104"/>
  <c r="H87" i="104"/>
  <c r="I87" i="104"/>
  <c r="J87" i="104"/>
  <c r="K87" i="104"/>
  <c r="N87" i="104"/>
  <c r="O87" i="104"/>
  <c r="P87" i="104"/>
  <c r="Q87" i="104"/>
  <c r="T87" i="104"/>
  <c r="U87" i="104"/>
  <c r="V87" i="104"/>
  <c r="W87" i="104"/>
  <c r="Z87" i="104"/>
  <c r="AA87" i="104"/>
  <c r="AB87" i="104"/>
  <c r="AC87" i="104"/>
  <c r="B88" i="104"/>
  <c r="C88" i="104"/>
  <c r="D88" i="104"/>
  <c r="E88" i="104"/>
  <c r="H88" i="104"/>
  <c r="I88" i="104"/>
  <c r="J88" i="104"/>
  <c r="K88" i="104"/>
  <c r="N88" i="104"/>
  <c r="O88" i="104"/>
  <c r="P88" i="104"/>
  <c r="Q88" i="104"/>
  <c r="T88" i="104"/>
  <c r="U88" i="104"/>
  <c r="V88" i="104"/>
  <c r="W88" i="104"/>
  <c r="Z88" i="104"/>
  <c r="AA88" i="104"/>
  <c r="AB88" i="104"/>
  <c r="AC88" i="104"/>
  <c r="B89" i="104"/>
  <c r="C89" i="104"/>
  <c r="D89" i="104"/>
  <c r="E89" i="104"/>
  <c r="H89" i="104"/>
  <c r="I89" i="104"/>
  <c r="J89" i="104"/>
  <c r="K89" i="104"/>
  <c r="N89" i="104"/>
  <c r="O89" i="104"/>
  <c r="P89" i="104"/>
  <c r="Q89" i="104"/>
  <c r="T89" i="104"/>
  <c r="U89" i="104"/>
  <c r="V89" i="104"/>
  <c r="W89" i="104"/>
  <c r="Z89" i="104"/>
  <c r="AA89" i="104"/>
  <c r="AB89" i="104"/>
  <c r="AC89" i="104"/>
  <c r="C82" i="104"/>
  <c r="D82" i="104"/>
  <c r="E82" i="104"/>
  <c r="H82" i="104"/>
  <c r="I82" i="104"/>
  <c r="J82" i="104"/>
  <c r="K82" i="104"/>
  <c r="N82" i="104"/>
  <c r="O82" i="104"/>
  <c r="P82" i="104"/>
  <c r="Q82" i="104"/>
  <c r="T82" i="104"/>
  <c r="U82" i="104"/>
  <c r="V82" i="104"/>
  <c r="W82" i="104"/>
  <c r="Z82" i="104"/>
  <c r="AA82" i="104"/>
  <c r="AB82" i="104"/>
  <c r="AC82" i="104"/>
  <c r="B82" i="104"/>
  <c r="C72" i="104"/>
  <c r="D72" i="104"/>
  <c r="E72" i="104"/>
  <c r="B72" i="104"/>
  <c r="B73" i="104"/>
  <c r="C73" i="104"/>
  <c r="D73" i="104"/>
  <c r="E73" i="104"/>
  <c r="B74" i="104"/>
  <c r="C74" i="104"/>
  <c r="D74" i="104"/>
  <c r="E74" i="104"/>
  <c r="B75" i="104"/>
  <c r="C75" i="104"/>
  <c r="D75" i="104"/>
  <c r="E75" i="104"/>
  <c r="B76" i="104"/>
  <c r="C76" i="104"/>
  <c r="D76" i="104"/>
  <c r="E76" i="104"/>
  <c r="B77" i="104"/>
  <c r="C77" i="104"/>
  <c r="D77" i="104"/>
  <c r="E77" i="104"/>
  <c r="B78" i="104"/>
  <c r="C78" i="104"/>
  <c r="D78" i="104"/>
  <c r="E78" i="104"/>
  <c r="B79" i="104"/>
  <c r="C79" i="104"/>
  <c r="D79" i="104"/>
  <c r="E79" i="104"/>
  <c r="H72" i="104"/>
  <c r="I72" i="104"/>
  <c r="J72" i="104"/>
  <c r="K72" i="104"/>
  <c r="N72" i="104"/>
  <c r="O72" i="104"/>
  <c r="P72" i="104"/>
  <c r="Q72" i="104"/>
  <c r="T72" i="104"/>
  <c r="U72" i="104"/>
  <c r="V72" i="104"/>
  <c r="W72" i="104"/>
  <c r="Z72" i="104"/>
  <c r="AA72" i="104"/>
  <c r="AB72" i="104"/>
  <c r="AC72" i="104"/>
  <c r="H73" i="104"/>
  <c r="I73" i="104"/>
  <c r="J73" i="104"/>
  <c r="K73" i="104"/>
  <c r="N73" i="104"/>
  <c r="O73" i="104"/>
  <c r="P73" i="104"/>
  <c r="Q73" i="104"/>
  <c r="T73" i="104"/>
  <c r="U73" i="104"/>
  <c r="V73" i="104"/>
  <c r="W73" i="104"/>
  <c r="Z73" i="104"/>
  <c r="AA73" i="104"/>
  <c r="AB73" i="104"/>
  <c r="AC73" i="104"/>
  <c r="H74" i="104"/>
  <c r="I74" i="104"/>
  <c r="J74" i="104"/>
  <c r="K74" i="104"/>
  <c r="N74" i="104"/>
  <c r="O74" i="104"/>
  <c r="P74" i="104"/>
  <c r="Q74" i="104"/>
  <c r="T74" i="104"/>
  <c r="U74" i="104"/>
  <c r="V74" i="104"/>
  <c r="W74" i="104"/>
  <c r="Z74" i="104"/>
  <c r="AA74" i="104"/>
  <c r="AB74" i="104"/>
  <c r="AC74" i="104"/>
  <c r="H75" i="104"/>
  <c r="I75" i="104"/>
  <c r="J75" i="104"/>
  <c r="K75" i="104"/>
  <c r="N75" i="104"/>
  <c r="O75" i="104"/>
  <c r="P75" i="104"/>
  <c r="Q75" i="104"/>
  <c r="T75" i="104"/>
  <c r="U75" i="104"/>
  <c r="V75" i="104"/>
  <c r="W75" i="104"/>
  <c r="Z75" i="104"/>
  <c r="AA75" i="104"/>
  <c r="AB75" i="104"/>
  <c r="AC75" i="104"/>
  <c r="H76" i="104"/>
  <c r="I76" i="104"/>
  <c r="J76" i="104"/>
  <c r="K76" i="104"/>
  <c r="N76" i="104"/>
  <c r="O76" i="104"/>
  <c r="P76" i="104"/>
  <c r="Q76" i="104"/>
  <c r="T76" i="104"/>
  <c r="U76" i="104"/>
  <c r="V76" i="104"/>
  <c r="W76" i="104"/>
  <c r="Z76" i="104"/>
  <c r="AA76" i="104"/>
  <c r="AB76" i="104"/>
  <c r="AC76" i="104"/>
  <c r="H77" i="104"/>
  <c r="I77" i="104"/>
  <c r="J77" i="104"/>
  <c r="K77" i="104"/>
  <c r="N77" i="104"/>
  <c r="O77" i="104"/>
  <c r="P77" i="104"/>
  <c r="Q77" i="104"/>
  <c r="T77" i="104"/>
  <c r="U77" i="104"/>
  <c r="V77" i="104"/>
  <c r="W77" i="104"/>
  <c r="Z77" i="104"/>
  <c r="AA77" i="104"/>
  <c r="AB77" i="104"/>
  <c r="AC77" i="104"/>
  <c r="H78" i="104"/>
  <c r="I78" i="104"/>
  <c r="J78" i="104"/>
  <c r="K78" i="104"/>
  <c r="N78" i="104"/>
  <c r="O78" i="104"/>
  <c r="P78" i="104"/>
  <c r="Q78" i="104"/>
  <c r="T78" i="104"/>
  <c r="U78" i="104"/>
  <c r="V78" i="104"/>
  <c r="W78" i="104"/>
  <c r="Z78" i="104"/>
  <c r="AA78" i="104"/>
  <c r="AB78" i="104"/>
  <c r="AC78" i="104"/>
  <c r="H79" i="104"/>
  <c r="I79" i="104"/>
  <c r="J79" i="104"/>
  <c r="K79" i="104"/>
  <c r="N79" i="104"/>
  <c r="O79" i="104"/>
  <c r="P79" i="104"/>
  <c r="Q79" i="104"/>
  <c r="T79" i="104"/>
  <c r="U79" i="104"/>
  <c r="V79" i="104"/>
  <c r="W79" i="104"/>
  <c r="Z79" i="104"/>
  <c r="AA79" i="104"/>
  <c r="AB79" i="104"/>
  <c r="AC79" i="104"/>
  <c r="AM41" i="1" l="1"/>
  <c r="AL41" i="1"/>
  <c r="AK41" i="1"/>
  <c r="AJ41" i="1"/>
  <c r="AG41" i="1"/>
  <c r="AF41" i="1"/>
  <c r="AE41" i="1"/>
  <c r="AD41" i="1"/>
  <c r="AA41" i="1"/>
  <c r="Z41" i="1"/>
  <c r="Y41" i="1"/>
  <c r="X41" i="1"/>
  <c r="U41" i="1"/>
  <c r="T41" i="1"/>
  <c r="S41" i="1"/>
  <c r="R41" i="1"/>
  <c r="O41" i="1"/>
  <c r="N41" i="1"/>
  <c r="M41" i="1"/>
  <c r="L41" i="1"/>
  <c r="AM40" i="1"/>
  <c r="AL40" i="1"/>
  <c r="AK40" i="1"/>
  <c r="AJ40" i="1"/>
  <c r="AG40" i="1"/>
  <c r="AF40" i="1"/>
  <c r="AE40" i="1"/>
  <c r="AD40" i="1"/>
  <c r="AA40" i="1"/>
  <c r="Z40" i="1"/>
  <c r="Y40" i="1"/>
  <c r="X40" i="1"/>
  <c r="U40" i="1"/>
  <c r="T40" i="1"/>
  <c r="S40" i="1"/>
  <c r="R40" i="1"/>
  <c r="O40" i="1"/>
  <c r="N40" i="1"/>
  <c r="M40" i="1"/>
  <c r="L40" i="1"/>
  <c r="AM39" i="1"/>
  <c r="AL39" i="1"/>
  <c r="AK39" i="1"/>
  <c r="AJ39" i="1"/>
  <c r="AG39" i="1"/>
  <c r="AF39" i="1"/>
  <c r="AE39" i="1"/>
  <c r="AD39" i="1"/>
  <c r="AA39" i="1"/>
  <c r="Z39" i="1"/>
  <c r="Y39" i="1"/>
  <c r="X39" i="1"/>
  <c r="U39" i="1"/>
  <c r="T39" i="1"/>
  <c r="S39" i="1"/>
  <c r="R39" i="1"/>
  <c r="O39" i="1"/>
  <c r="N39" i="1"/>
  <c r="M39" i="1"/>
  <c r="L39" i="1"/>
  <c r="AM38" i="1"/>
  <c r="AL38" i="1"/>
  <c r="AK38" i="1"/>
  <c r="AJ38" i="1"/>
  <c r="AG38" i="1"/>
  <c r="AF38" i="1"/>
  <c r="AE38" i="1"/>
  <c r="AD38" i="1"/>
  <c r="AA38" i="1"/>
  <c r="Z38" i="1"/>
  <c r="Y38" i="1"/>
  <c r="X38" i="1"/>
  <c r="U38" i="1"/>
  <c r="T38" i="1"/>
  <c r="S38" i="1"/>
  <c r="R38" i="1"/>
  <c r="O38" i="1"/>
  <c r="N38" i="1"/>
  <c r="M38" i="1"/>
  <c r="L38" i="1"/>
  <c r="AM37" i="1"/>
  <c r="AL37" i="1"/>
  <c r="AK37" i="1"/>
  <c r="AJ37" i="1"/>
  <c r="AG37" i="1"/>
  <c r="AF37" i="1"/>
  <c r="AE37" i="1"/>
  <c r="AD37" i="1"/>
  <c r="AA37" i="1"/>
  <c r="Z37" i="1"/>
  <c r="Y37" i="1"/>
  <c r="X37" i="1"/>
  <c r="U37" i="1"/>
  <c r="T37" i="1"/>
  <c r="S37" i="1"/>
  <c r="R37" i="1"/>
  <c r="O37" i="1"/>
  <c r="N37" i="1"/>
  <c r="M37" i="1"/>
  <c r="L37" i="1"/>
  <c r="AM36" i="1"/>
  <c r="AL36" i="1"/>
  <c r="AK36" i="1"/>
  <c r="AJ36" i="1"/>
  <c r="AG36" i="1"/>
  <c r="AF36" i="1"/>
  <c r="AE36" i="1"/>
  <c r="AD36" i="1"/>
  <c r="AA36" i="1"/>
  <c r="Z36" i="1"/>
  <c r="Y36" i="1"/>
  <c r="X36" i="1"/>
  <c r="U36" i="1"/>
  <c r="T36" i="1"/>
  <c r="S36" i="1"/>
  <c r="R36" i="1"/>
  <c r="O36" i="1"/>
  <c r="N36" i="1"/>
  <c r="M36" i="1"/>
  <c r="L36" i="1"/>
  <c r="AM35" i="1"/>
  <c r="AL35" i="1"/>
  <c r="AK35" i="1"/>
  <c r="AJ35" i="1"/>
  <c r="AG35" i="1"/>
  <c r="AF35" i="1"/>
  <c r="AE35" i="1"/>
  <c r="AD35" i="1"/>
  <c r="AA35" i="1"/>
  <c r="Z35" i="1"/>
  <c r="Y35" i="1"/>
  <c r="X35" i="1"/>
  <c r="U35" i="1"/>
  <c r="T35" i="1"/>
  <c r="S35" i="1"/>
  <c r="R35" i="1"/>
  <c r="O35" i="1"/>
  <c r="N35" i="1"/>
  <c r="M35" i="1"/>
  <c r="L35" i="1"/>
  <c r="AM34" i="1"/>
  <c r="AL34" i="1"/>
  <c r="AK34" i="1"/>
  <c r="AJ34" i="1"/>
  <c r="AG34" i="1"/>
  <c r="AF34" i="1"/>
  <c r="AE34" i="1"/>
  <c r="AD34" i="1"/>
  <c r="AA34" i="1"/>
  <c r="Z34" i="1"/>
  <c r="Y34" i="1"/>
  <c r="X34" i="1"/>
  <c r="U34" i="1"/>
  <c r="T34" i="1"/>
  <c r="S34" i="1"/>
  <c r="R34" i="1"/>
  <c r="O34" i="1"/>
  <c r="N34" i="1"/>
  <c r="M34" i="1"/>
  <c r="L34" i="1"/>
  <c r="AM33" i="1"/>
  <c r="AL33" i="1"/>
  <c r="AK33" i="1"/>
  <c r="AJ33" i="1"/>
  <c r="AG33" i="1"/>
  <c r="AF33" i="1"/>
  <c r="AE33" i="1"/>
  <c r="AD33" i="1"/>
  <c r="AA33" i="1"/>
  <c r="Z33" i="1"/>
  <c r="Y33" i="1"/>
  <c r="X33" i="1"/>
  <c r="U33" i="1"/>
  <c r="T33" i="1"/>
  <c r="S33" i="1"/>
  <c r="R33" i="1"/>
  <c r="O33" i="1"/>
  <c r="N33" i="1"/>
  <c r="M33" i="1"/>
  <c r="L33" i="1"/>
  <c r="AM32" i="1"/>
  <c r="AL32" i="1"/>
  <c r="AK32" i="1"/>
  <c r="AJ32" i="1"/>
  <c r="AG32" i="1"/>
  <c r="AF32" i="1"/>
  <c r="AE32" i="1"/>
  <c r="AD32" i="1"/>
  <c r="AA32" i="1"/>
  <c r="Z32" i="1"/>
  <c r="Y32" i="1"/>
  <c r="X32" i="1"/>
  <c r="U32" i="1"/>
  <c r="T32" i="1"/>
  <c r="S32" i="1"/>
  <c r="R32" i="1"/>
  <c r="O32" i="1"/>
  <c r="N32" i="1"/>
  <c r="M32" i="1"/>
  <c r="L32" i="1"/>
  <c r="AM31" i="1"/>
  <c r="AL31" i="1"/>
  <c r="AK31" i="1"/>
  <c r="AJ31" i="1"/>
  <c r="AG31" i="1"/>
  <c r="AF31" i="1"/>
  <c r="AE31" i="1"/>
  <c r="AD31" i="1"/>
  <c r="AA31" i="1"/>
  <c r="Z31" i="1"/>
  <c r="Y31" i="1"/>
  <c r="X31" i="1"/>
  <c r="U31" i="1"/>
  <c r="T31" i="1"/>
  <c r="S31" i="1"/>
  <c r="R31" i="1"/>
  <c r="O31" i="1"/>
  <c r="N31" i="1"/>
  <c r="M31" i="1"/>
  <c r="L31" i="1"/>
  <c r="AM30" i="1"/>
  <c r="AL30" i="1"/>
  <c r="AK30" i="1"/>
  <c r="AJ30" i="1"/>
  <c r="AG30" i="1"/>
  <c r="AF30" i="1"/>
  <c r="AE30" i="1"/>
  <c r="AD30" i="1"/>
  <c r="AA30" i="1"/>
  <c r="Z30" i="1"/>
  <c r="Y30" i="1"/>
  <c r="X30" i="1"/>
  <c r="U30" i="1"/>
  <c r="T30" i="1"/>
  <c r="S30" i="1"/>
  <c r="R30" i="1"/>
  <c r="O30" i="1"/>
  <c r="N30" i="1"/>
  <c r="M30" i="1"/>
  <c r="L30" i="1"/>
  <c r="AM29" i="1"/>
  <c r="AL29" i="1"/>
  <c r="AK29" i="1"/>
  <c r="AJ29" i="1"/>
  <c r="AG29" i="1"/>
  <c r="AF29" i="1"/>
  <c r="AE29" i="1"/>
  <c r="AD29" i="1"/>
  <c r="AA29" i="1"/>
  <c r="Z29" i="1"/>
  <c r="Y29" i="1"/>
  <c r="X29" i="1"/>
  <c r="U29" i="1"/>
  <c r="T29" i="1"/>
  <c r="S29" i="1"/>
  <c r="R29" i="1"/>
  <c r="O29" i="1"/>
  <c r="N29" i="1"/>
  <c r="M29" i="1"/>
  <c r="L29" i="1"/>
  <c r="AM28" i="1"/>
  <c r="AL28" i="1"/>
  <c r="AK28" i="1"/>
  <c r="AJ28" i="1"/>
  <c r="AG28" i="1"/>
  <c r="AF28" i="1"/>
  <c r="AE28" i="1"/>
  <c r="AD28" i="1"/>
  <c r="AA28" i="1"/>
  <c r="Z28" i="1"/>
  <c r="Y28" i="1"/>
  <c r="X28" i="1"/>
  <c r="U28" i="1"/>
  <c r="T28" i="1"/>
  <c r="S28" i="1"/>
  <c r="R28" i="1"/>
  <c r="O28" i="1"/>
  <c r="N28" i="1"/>
  <c r="M28" i="1"/>
  <c r="L28" i="1"/>
  <c r="AM27" i="1"/>
  <c r="AL27" i="1"/>
  <c r="AK27" i="1"/>
  <c r="AJ27" i="1"/>
  <c r="AG27" i="1"/>
  <c r="AF27" i="1"/>
  <c r="AE27" i="1"/>
  <c r="AD27" i="1"/>
  <c r="AA27" i="1"/>
  <c r="Z27" i="1"/>
  <c r="Y27" i="1"/>
  <c r="X27" i="1"/>
  <c r="U27" i="1"/>
  <c r="T27" i="1"/>
  <c r="S27" i="1"/>
  <c r="R27" i="1"/>
  <c r="O27" i="1"/>
  <c r="N27" i="1"/>
  <c r="M27" i="1"/>
  <c r="L27" i="1"/>
  <c r="AM26" i="1"/>
  <c r="AL26" i="1"/>
  <c r="AK26" i="1"/>
  <c r="AJ26" i="1"/>
  <c r="AG26" i="1"/>
  <c r="AF26" i="1"/>
  <c r="AE26" i="1"/>
  <c r="AD26" i="1"/>
  <c r="AA26" i="1"/>
  <c r="Z26" i="1"/>
  <c r="Y26" i="1"/>
  <c r="X26" i="1"/>
  <c r="U26" i="1"/>
  <c r="T26" i="1"/>
  <c r="S26" i="1"/>
  <c r="R26" i="1"/>
  <c r="O26" i="1"/>
  <c r="N26" i="1"/>
  <c r="M26" i="1"/>
  <c r="L26" i="1"/>
  <c r="AM25" i="1"/>
  <c r="AL25" i="1"/>
  <c r="AK25" i="1"/>
  <c r="AJ25" i="1"/>
  <c r="AG25" i="1"/>
  <c r="AF25" i="1"/>
  <c r="AE25" i="1"/>
  <c r="AD25" i="1"/>
  <c r="AA25" i="1"/>
  <c r="Z25" i="1"/>
  <c r="Y25" i="1"/>
  <c r="X25" i="1"/>
  <c r="U25" i="1"/>
  <c r="T25" i="1"/>
  <c r="S25" i="1"/>
  <c r="R25" i="1"/>
  <c r="O25" i="1"/>
  <c r="N25" i="1"/>
  <c r="M25" i="1"/>
  <c r="L25" i="1"/>
  <c r="AM24" i="1"/>
  <c r="AL24" i="1"/>
  <c r="AK24" i="1"/>
  <c r="AJ24" i="1"/>
  <c r="AG24" i="1"/>
  <c r="AF24" i="1"/>
  <c r="AE24" i="1"/>
  <c r="AD24" i="1"/>
  <c r="AA24" i="1"/>
  <c r="Z24" i="1"/>
  <c r="Y24" i="1"/>
  <c r="X24" i="1"/>
  <c r="U24" i="1"/>
  <c r="T24" i="1"/>
  <c r="S24" i="1"/>
  <c r="R24" i="1"/>
  <c r="O24" i="1"/>
  <c r="N24" i="1"/>
  <c r="M24" i="1"/>
  <c r="L24" i="1"/>
  <c r="AM23" i="1"/>
  <c r="AL23" i="1"/>
  <c r="AK23" i="1"/>
  <c r="AJ23" i="1"/>
  <c r="AG23" i="1"/>
  <c r="AF23" i="1"/>
  <c r="AE23" i="1"/>
  <c r="AD23" i="1"/>
  <c r="AA23" i="1"/>
  <c r="Z23" i="1"/>
  <c r="Y23" i="1"/>
  <c r="X23" i="1"/>
  <c r="U23" i="1"/>
  <c r="T23" i="1"/>
  <c r="S23" i="1"/>
  <c r="R23" i="1"/>
  <c r="O23" i="1"/>
  <c r="N23" i="1"/>
  <c r="M23" i="1"/>
  <c r="L23" i="1"/>
  <c r="AM22" i="1"/>
  <c r="AL22" i="1"/>
  <c r="AK22" i="1"/>
  <c r="AJ22" i="1"/>
  <c r="AG22" i="1"/>
  <c r="AF22" i="1"/>
  <c r="AE22" i="1"/>
  <c r="AD22" i="1"/>
  <c r="AA22" i="1"/>
  <c r="Z22" i="1"/>
  <c r="Y22" i="1"/>
  <c r="X22" i="1"/>
  <c r="U22" i="1"/>
  <c r="T22" i="1"/>
  <c r="S22" i="1"/>
  <c r="R22" i="1"/>
  <c r="O22" i="1"/>
  <c r="N22" i="1"/>
  <c r="M22" i="1"/>
  <c r="L22" i="1"/>
  <c r="AM21" i="1"/>
  <c r="AL21" i="1"/>
  <c r="AK21" i="1"/>
  <c r="AJ21" i="1"/>
  <c r="AG21" i="1"/>
  <c r="AF21" i="1"/>
  <c r="AE21" i="1"/>
  <c r="AD21" i="1"/>
  <c r="AA21" i="1"/>
  <c r="Z21" i="1"/>
  <c r="Y21" i="1"/>
  <c r="X21" i="1"/>
  <c r="U21" i="1"/>
  <c r="T21" i="1"/>
  <c r="S21" i="1"/>
  <c r="R21" i="1"/>
  <c r="O21" i="1"/>
  <c r="N21" i="1"/>
  <c r="M21" i="1"/>
  <c r="L21" i="1"/>
  <c r="AM20" i="1"/>
  <c r="AL20" i="1"/>
  <c r="AK20" i="1"/>
  <c r="AJ20" i="1"/>
  <c r="AG20" i="1"/>
  <c r="AF20" i="1"/>
  <c r="AE20" i="1"/>
  <c r="AD20" i="1"/>
  <c r="AA20" i="1"/>
  <c r="Z20" i="1"/>
  <c r="Y20" i="1"/>
  <c r="X20" i="1"/>
  <c r="U20" i="1"/>
  <c r="T20" i="1"/>
  <c r="S20" i="1"/>
  <c r="R20" i="1"/>
  <c r="O20" i="1"/>
  <c r="N20" i="1"/>
  <c r="M20" i="1"/>
  <c r="L20" i="1"/>
  <c r="AM19" i="1"/>
  <c r="AL19" i="1"/>
  <c r="AK19" i="1"/>
  <c r="AJ19" i="1"/>
  <c r="AG19" i="1"/>
  <c r="AF19" i="1"/>
  <c r="AE19" i="1"/>
  <c r="AD19" i="1"/>
  <c r="AA19" i="1"/>
  <c r="Z19" i="1"/>
  <c r="Y19" i="1"/>
  <c r="X19" i="1"/>
  <c r="U19" i="1"/>
  <c r="T19" i="1"/>
  <c r="S19" i="1"/>
  <c r="R19" i="1"/>
  <c r="O19" i="1"/>
  <c r="N19" i="1"/>
  <c r="M19" i="1"/>
  <c r="L19" i="1"/>
  <c r="AM18" i="1"/>
  <c r="AL18" i="1"/>
  <c r="AK18" i="1"/>
  <c r="AJ18" i="1"/>
  <c r="AG18" i="1"/>
  <c r="AF18" i="1"/>
  <c r="AE18" i="1"/>
  <c r="AD18" i="1"/>
  <c r="AA18" i="1"/>
  <c r="Z18" i="1"/>
  <c r="Y18" i="1"/>
  <c r="X18" i="1"/>
  <c r="U18" i="1"/>
  <c r="T18" i="1"/>
  <c r="S18" i="1"/>
  <c r="R18" i="1"/>
  <c r="O18" i="1"/>
  <c r="N18" i="1"/>
  <c r="M18" i="1"/>
  <c r="L18" i="1"/>
  <c r="AM17" i="1"/>
  <c r="AL17" i="1"/>
  <c r="AK17" i="1"/>
  <c r="AJ17" i="1"/>
  <c r="AG17" i="1"/>
  <c r="AF17" i="1"/>
  <c r="AE17" i="1"/>
  <c r="AD17" i="1"/>
  <c r="AA17" i="1"/>
  <c r="Z17" i="1"/>
  <c r="Y17" i="1"/>
  <c r="X17" i="1"/>
  <c r="U17" i="1"/>
  <c r="T17" i="1"/>
  <c r="S17" i="1"/>
  <c r="R17" i="1"/>
  <c r="O17" i="1"/>
  <c r="N17" i="1"/>
  <c r="M17" i="1"/>
  <c r="L17" i="1"/>
  <c r="AM16" i="1"/>
  <c r="AL16" i="1"/>
  <c r="AK16" i="1"/>
  <c r="AJ16" i="1"/>
  <c r="AG16" i="1"/>
  <c r="AF16" i="1"/>
  <c r="AE16" i="1"/>
  <c r="AD16" i="1"/>
  <c r="AA16" i="1"/>
  <c r="Z16" i="1"/>
  <c r="Y16" i="1"/>
  <c r="X16" i="1"/>
  <c r="U16" i="1"/>
  <c r="T16" i="1"/>
  <c r="S16" i="1"/>
  <c r="R16" i="1"/>
  <c r="O16" i="1"/>
  <c r="N16" i="1"/>
  <c r="M16" i="1"/>
  <c r="L16" i="1"/>
  <c r="AM15" i="1"/>
  <c r="AL15" i="1"/>
  <c r="AK15" i="1"/>
  <c r="AJ15" i="1"/>
  <c r="AG15" i="1"/>
  <c r="AF15" i="1"/>
  <c r="AE15" i="1"/>
  <c r="AD15" i="1"/>
  <c r="AA15" i="1"/>
  <c r="Z15" i="1"/>
  <c r="Y15" i="1"/>
  <c r="X15" i="1"/>
  <c r="U15" i="1"/>
  <c r="T15" i="1"/>
  <c r="S15" i="1"/>
  <c r="R15" i="1"/>
  <c r="O15" i="1"/>
  <c r="N15" i="1"/>
  <c r="M15" i="1"/>
  <c r="L15" i="1"/>
  <c r="AM14" i="1"/>
  <c r="AL14" i="1"/>
  <c r="AK14" i="1"/>
  <c r="AJ14" i="1"/>
  <c r="AG14" i="1"/>
  <c r="AF14" i="1"/>
  <c r="AE14" i="1"/>
  <c r="AD14" i="1"/>
  <c r="AA14" i="1"/>
  <c r="Z14" i="1"/>
  <c r="Y14" i="1"/>
  <c r="X14" i="1"/>
  <c r="U14" i="1"/>
  <c r="T14" i="1"/>
  <c r="S14" i="1"/>
  <c r="R14" i="1"/>
  <c r="O14" i="1"/>
  <c r="N14" i="1"/>
  <c r="M14" i="1"/>
  <c r="L14" i="1"/>
  <c r="AM13" i="1"/>
  <c r="AL13" i="1"/>
  <c r="AK13" i="1"/>
  <c r="AJ13" i="1"/>
  <c r="AG13" i="1"/>
  <c r="AF13" i="1"/>
  <c r="AE13" i="1"/>
  <c r="AD13" i="1"/>
  <c r="AA13" i="1"/>
  <c r="Z13" i="1"/>
  <c r="Y13" i="1"/>
  <c r="X13" i="1"/>
  <c r="U13" i="1"/>
  <c r="T13" i="1"/>
  <c r="S13" i="1"/>
  <c r="R13" i="1"/>
  <c r="O13" i="1"/>
  <c r="N13" i="1"/>
  <c r="M13" i="1"/>
  <c r="L13" i="1"/>
  <c r="AM12" i="1"/>
  <c r="AL12" i="1"/>
  <c r="AK12" i="1"/>
  <c r="AJ12" i="1"/>
  <c r="AG12" i="1"/>
  <c r="AF12" i="1"/>
  <c r="AE12" i="1"/>
  <c r="AD12" i="1"/>
  <c r="AA12" i="1"/>
  <c r="Z12" i="1"/>
  <c r="Y12" i="1"/>
  <c r="X12" i="1"/>
  <c r="U12" i="1"/>
  <c r="T12" i="1"/>
  <c r="S12" i="1"/>
  <c r="R12" i="1"/>
  <c r="O12" i="1"/>
  <c r="N12" i="1"/>
  <c r="M12" i="1"/>
  <c r="L12" i="1"/>
  <c r="AM11" i="1"/>
  <c r="AL11" i="1"/>
  <c r="AK11" i="1"/>
  <c r="AJ11" i="1"/>
  <c r="AG11" i="1"/>
  <c r="AF11" i="1"/>
  <c r="AE11" i="1"/>
  <c r="AD11" i="1"/>
  <c r="AA11" i="1"/>
  <c r="Z11" i="1"/>
  <c r="Y11" i="1"/>
  <c r="X11" i="1"/>
  <c r="U11" i="1"/>
  <c r="T11" i="1"/>
  <c r="S11" i="1"/>
  <c r="R11" i="1"/>
  <c r="O11" i="1"/>
  <c r="N11" i="1"/>
  <c r="M11" i="1"/>
  <c r="L11" i="1"/>
  <c r="AM10" i="1"/>
  <c r="AL10" i="1"/>
  <c r="AK10" i="1"/>
  <c r="AJ10" i="1"/>
  <c r="AG10" i="1"/>
  <c r="AF10" i="1"/>
  <c r="AE10" i="1"/>
  <c r="AD10" i="1"/>
  <c r="AA10" i="1"/>
  <c r="Z10" i="1"/>
  <c r="Y10" i="1"/>
  <c r="X10" i="1"/>
  <c r="U10" i="1"/>
  <c r="T10" i="1"/>
  <c r="S10" i="1"/>
  <c r="R10" i="1"/>
  <c r="O10" i="1"/>
  <c r="N10" i="1"/>
  <c r="M10" i="1"/>
  <c r="L10" i="1"/>
  <c r="AM9" i="1"/>
  <c r="AL9" i="1"/>
  <c r="AK9" i="1"/>
  <c r="AJ9" i="1"/>
  <c r="AG9" i="1"/>
  <c r="AF9" i="1"/>
  <c r="AE9" i="1"/>
  <c r="AD9" i="1"/>
  <c r="AA9" i="1"/>
  <c r="Z9" i="1"/>
  <c r="Y9" i="1"/>
  <c r="X9" i="1"/>
  <c r="U9" i="1"/>
  <c r="T9" i="1"/>
  <c r="S9" i="1"/>
  <c r="R9" i="1"/>
  <c r="O9" i="1"/>
  <c r="N9" i="1"/>
  <c r="M9" i="1"/>
  <c r="L9" i="1"/>
  <c r="AM8" i="1"/>
  <c r="AL8" i="1"/>
  <c r="AK8" i="1"/>
  <c r="AJ8" i="1"/>
  <c r="AG8" i="1"/>
  <c r="AF8" i="1"/>
  <c r="AE8" i="1"/>
  <c r="AD8" i="1"/>
  <c r="AA8" i="1"/>
  <c r="Z8" i="1"/>
  <c r="Y8" i="1"/>
  <c r="X8" i="1"/>
  <c r="U8" i="1"/>
  <c r="T8" i="1"/>
  <c r="S8" i="1"/>
  <c r="R8" i="1"/>
  <c r="O8" i="1"/>
  <c r="N8" i="1"/>
  <c r="M8" i="1"/>
  <c r="L8" i="1"/>
  <c r="AM7" i="1"/>
  <c r="AL7" i="1"/>
  <c r="AK7" i="1"/>
  <c r="AJ7" i="1"/>
  <c r="AG7" i="1"/>
  <c r="AF7" i="1"/>
  <c r="AE7" i="1"/>
  <c r="AD7" i="1"/>
  <c r="AA7" i="1"/>
  <c r="Z7" i="1"/>
  <c r="Y7" i="1"/>
  <c r="X7" i="1"/>
  <c r="U7" i="1"/>
  <c r="T7" i="1"/>
  <c r="S7" i="1"/>
  <c r="R7" i="1"/>
  <c r="O7" i="1"/>
  <c r="N7" i="1"/>
  <c r="M7" i="1"/>
  <c r="L7" i="1"/>
  <c r="AM6" i="1"/>
  <c r="AL6" i="1"/>
  <c r="AK6" i="1"/>
  <c r="AJ6" i="1"/>
  <c r="AG6" i="1"/>
  <c r="AF6" i="1"/>
  <c r="AE6" i="1"/>
  <c r="AD6" i="1"/>
  <c r="AA6" i="1"/>
  <c r="Z6" i="1"/>
  <c r="Y6" i="1"/>
  <c r="X6" i="1"/>
  <c r="U6" i="1"/>
  <c r="T6" i="1"/>
  <c r="S6" i="1"/>
  <c r="R6" i="1"/>
  <c r="O6" i="1"/>
  <c r="N6" i="1"/>
  <c r="M6" i="1"/>
  <c r="L6" i="1"/>
  <c r="AM5" i="1"/>
  <c r="AL5" i="1"/>
  <c r="AK5" i="1"/>
  <c r="AJ5" i="1"/>
  <c r="AG5" i="1"/>
  <c r="AF5" i="1"/>
  <c r="AE5" i="1"/>
  <c r="AD5" i="1"/>
  <c r="AA5" i="1"/>
  <c r="Z5" i="1"/>
  <c r="Y5" i="1"/>
  <c r="X5" i="1"/>
  <c r="U5" i="1"/>
  <c r="T5" i="1"/>
  <c r="S5" i="1"/>
  <c r="R5" i="1"/>
  <c r="O5" i="1"/>
  <c r="O42" i="1" s="1"/>
  <c r="N5" i="1"/>
  <c r="M5" i="1"/>
  <c r="L5" i="1"/>
  <c r="AM4" i="1"/>
  <c r="AL4" i="1"/>
  <c r="AK4" i="1"/>
  <c r="AJ4" i="1"/>
  <c r="AG4" i="1"/>
  <c r="AF4" i="1"/>
  <c r="AE4" i="1"/>
  <c r="AD4" i="1"/>
  <c r="AA4" i="1"/>
  <c r="Z4" i="1"/>
  <c r="Y4" i="1"/>
  <c r="X4" i="1"/>
  <c r="U4" i="1"/>
  <c r="T4" i="1"/>
  <c r="S4" i="1"/>
  <c r="R4" i="1"/>
  <c r="O4" i="1"/>
  <c r="N4" i="1"/>
  <c r="M4" i="1"/>
  <c r="L4" i="1"/>
  <c r="AM3" i="1"/>
  <c r="AL3" i="1"/>
  <c r="AK3" i="1"/>
  <c r="AJ3" i="1"/>
  <c r="AG3" i="1"/>
  <c r="AF3" i="1"/>
  <c r="AE3" i="1"/>
  <c r="AD3" i="1"/>
  <c r="AA3" i="1"/>
  <c r="AA42" i="1" s="1"/>
  <c r="Z3" i="1"/>
  <c r="Y3" i="1"/>
  <c r="X3" i="1"/>
  <c r="U3" i="1"/>
  <c r="T3" i="1"/>
  <c r="S3" i="1"/>
  <c r="R3" i="1"/>
  <c r="O3" i="1"/>
  <c r="N3" i="1"/>
  <c r="M3" i="1"/>
  <c r="L3" i="1"/>
  <c r="AM2" i="1"/>
  <c r="AM42" i="1" s="1"/>
  <c r="AL2" i="1"/>
  <c r="AL42" i="1" s="1"/>
  <c r="AK2" i="1"/>
  <c r="AK42" i="1" s="1"/>
  <c r="AJ2" i="1"/>
  <c r="AJ42" i="1" s="1"/>
  <c r="AG2" i="1"/>
  <c r="AG42" i="1" s="1"/>
  <c r="AF2" i="1"/>
  <c r="AE2" i="1"/>
  <c r="AD2" i="1"/>
  <c r="AA2" i="1"/>
  <c r="Z2" i="1"/>
  <c r="Z42" i="1" s="1"/>
  <c r="Y2" i="1"/>
  <c r="Y42" i="1" s="1"/>
  <c r="X2" i="1"/>
  <c r="U2" i="1"/>
  <c r="U42" i="1" s="1"/>
  <c r="T2" i="1"/>
  <c r="S2" i="1"/>
  <c r="R2" i="1"/>
  <c r="O2" i="1"/>
  <c r="N2" i="1"/>
  <c r="M2" i="1"/>
  <c r="M42" i="1" s="1"/>
  <c r="L2" i="1"/>
  <c r="L42" i="1" s="1"/>
  <c r="Z32" i="62"/>
  <c r="Y32" i="62"/>
  <c r="X32" i="62"/>
  <c r="T32" i="62"/>
  <c r="S32" i="62"/>
  <c r="R32" i="62"/>
  <c r="AM31" i="62"/>
  <c r="AL31" i="62"/>
  <c r="AK31" i="62"/>
  <c r="AJ31" i="62"/>
  <c r="AG31" i="62"/>
  <c r="AF31" i="62"/>
  <c r="AE31" i="62"/>
  <c r="AD31" i="62"/>
  <c r="AA31" i="62"/>
  <c r="Z31" i="62"/>
  <c r="Y31" i="62"/>
  <c r="X31" i="62"/>
  <c r="U31" i="62"/>
  <c r="T31" i="62"/>
  <c r="S31" i="62"/>
  <c r="R31" i="62"/>
  <c r="O31" i="62"/>
  <c r="N31" i="62"/>
  <c r="M31" i="62"/>
  <c r="L31" i="62"/>
  <c r="AM30" i="62"/>
  <c r="AL30" i="62"/>
  <c r="AK30" i="62"/>
  <c r="AJ30" i="62"/>
  <c r="AG30" i="62"/>
  <c r="AF30" i="62"/>
  <c r="AE30" i="62"/>
  <c r="AD30" i="62"/>
  <c r="AA30" i="62"/>
  <c r="Z30" i="62"/>
  <c r="Y30" i="62"/>
  <c r="X30" i="62"/>
  <c r="U30" i="62"/>
  <c r="T30" i="62"/>
  <c r="S30" i="62"/>
  <c r="R30" i="62"/>
  <c r="O30" i="62"/>
  <c r="N30" i="62"/>
  <c r="M30" i="62"/>
  <c r="L30" i="62"/>
  <c r="AM29" i="62"/>
  <c r="AL29" i="62"/>
  <c r="AK29" i="62"/>
  <c r="AJ29" i="62"/>
  <c r="AG29" i="62"/>
  <c r="AF29" i="62"/>
  <c r="AE29" i="62"/>
  <c r="AD29" i="62"/>
  <c r="AA29" i="62"/>
  <c r="Z29" i="62"/>
  <c r="Y29" i="62"/>
  <c r="X29" i="62"/>
  <c r="U29" i="62"/>
  <c r="T29" i="62"/>
  <c r="S29" i="62"/>
  <c r="R29" i="62"/>
  <c r="O29" i="62"/>
  <c r="N29" i="62"/>
  <c r="M29" i="62"/>
  <c r="L29" i="62"/>
  <c r="AM28" i="62"/>
  <c r="AL28" i="62"/>
  <c r="AK28" i="62"/>
  <c r="AJ28" i="62"/>
  <c r="AG28" i="62"/>
  <c r="AF28" i="62"/>
  <c r="AE28" i="62"/>
  <c r="AD28" i="62"/>
  <c r="AA28" i="62"/>
  <c r="Z28" i="62"/>
  <c r="Y28" i="62"/>
  <c r="X28" i="62"/>
  <c r="U28" i="62"/>
  <c r="T28" i="62"/>
  <c r="S28" i="62"/>
  <c r="R28" i="62"/>
  <c r="O28" i="62"/>
  <c r="N28" i="62"/>
  <c r="M28" i="62"/>
  <c r="L28" i="62"/>
  <c r="AM27" i="62"/>
  <c r="AL27" i="62"/>
  <c r="AK27" i="62"/>
  <c r="AJ27" i="62"/>
  <c r="AG27" i="62"/>
  <c r="AF27" i="62"/>
  <c r="AE27" i="62"/>
  <c r="AD27" i="62"/>
  <c r="AA27" i="62"/>
  <c r="Z27" i="62"/>
  <c r="Y27" i="62"/>
  <c r="X27" i="62"/>
  <c r="U27" i="62"/>
  <c r="T27" i="62"/>
  <c r="S27" i="62"/>
  <c r="R27" i="62"/>
  <c r="O27" i="62"/>
  <c r="N27" i="62"/>
  <c r="M27" i="62"/>
  <c r="L27" i="62"/>
  <c r="AM26" i="62"/>
  <c r="AL26" i="62"/>
  <c r="AK26" i="62"/>
  <c r="AJ26" i="62"/>
  <c r="AG26" i="62"/>
  <c r="AF26" i="62"/>
  <c r="AE26" i="62"/>
  <c r="AD26" i="62"/>
  <c r="AA26" i="62"/>
  <c r="Z26" i="62"/>
  <c r="Y26" i="62"/>
  <c r="X26" i="62"/>
  <c r="U26" i="62"/>
  <c r="T26" i="62"/>
  <c r="S26" i="62"/>
  <c r="R26" i="62"/>
  <c r="O26" i="62"/>
  <c r="N26" i="62"/>
  <c r="M26" i="62"/>
  <c r="L26" i="62"/>
  <c r="AM25" i="62"/>
  <c r="AL25" i="62"/>
  <c r="AK25" i="62"/>
  <c r="AJ25" i="62"/>
  <c r="AG25" i="62"/>
  <c r="AF25" i="62"/>
  <c r="AE25" i="62"/>
  <c r="AD25" i="62"/>
  <c r="AA25" i="62"/>
  <c r="Z25" i="62"/>
  <c r="Y25" i="62"/>
  <c r="X25" i="62"/>
  <c r="U25" i="62"/>
  <c r="T25" i="62"/>
  <c r="S25" i="62"/>
  <c r="R25" i="62"/>
  <c r="O25" i="62"/>
  <c r="N25" i="62"/>
  <c r="M25" i="62"/>
  <c r="L25" i="62"/>
  <c r="AM24" i="62"/>
  <c r="AL24" i="62"/>
  <c r="AK24" i="62"/>
  <c r="AJ24" i="62"/>
  <c r="AG24" i="62"/>
  <c r="AF24" i="62"/>
  <c r="AE24" i="62"/>
  <c r="AD24" i="62"/>
  <c r="AA24" i="62"/>
  <c r="Z24" i="62"/>
  <c r="Y24" i="62"/>
  <c r="X24" i="62"/>
  <c r="U24" i="62"/>
  <c r="T24" i="62"/>
  <c r="S24" i="62"/>
  <c r="R24" i="62"/>
  <c r="O24" i="62"/>
  <c r="N24" i="62"/>
  <c r="M24" i="62"/>
  <c r="L24" i="62"/>
  <c r="AM23" i="62"/>
  <c r="AL23" i="62"/>
  <c r="AK23" i="62"/>
  <c r="AJ23" i="62"/>
  <c r="AG23" i="62"/>
  <c r="AF23" i="62"/>
  <c r="AE23" i="62"/>
  <c r="AD23" i="62"/>
  <c r="AA23" i="62"/>
  <c r="Z23" i="62"/>
  <c r="Y23" i="62"/>
  <c r="X23" i="62"/>
  <c r="U23" i="62"/>
  <c r="T23" i="62"/>
  <c r="S23" i="62"/>
  <c r="R23" i="62"/>
  <c r="O23" i="62"/>
  <c r="N23" i="62"/>
  <c r="M23" i="62"/>
  <c r="L23" i="62"/>
  <c r="AM22" i="62"/>
  <c r="AL22" i="62"/>
  <c r="AK22" i="62"/>
  <c r="AJ22" i="62"/>
  <c r="AG22" i="62"/>
  <c r="AF22" i="62"/>
  <c r="AE22" i="62"/>
  <c r="AD22" i="62"/>
  <c r="AA22" i="62"/>
  <c r="Z22" i="62"/>
  <c r="Y22" i="62"/>
  <c r="X22" i="62"/>
  <c r="U22" i="62"/>
  <c r="T22" i="62"/>
  <c r="S22" i="62"/>
  <c r="R22" i="62"/>
  <c r="O22" i="62"/>
  <c r="N22" i="62"/>
  <c r="M22" i="62"/>
  <c r="L22" i="62"/>
  <c r="AM21" i="62"/>
  <c r="AL21" i="62"/>
  <c r="AK21" i="62"/>
  <c r="AJ21" i="62"/>
  <c r="AG21" i="62"/>
  <c r="AF21" i="62"/>
  <c r="AE21" i="62"/>
  <c r="AD21" i="62"/>
  <c r="AA21" i="62"/>
  <c r="Z21" i="62"/>
  <c r="Y21" i="62"/>
  <c r="X21" i="62"/>
  <c r="U21" i="62"/>
  <c r="T21" i="62"/>
  <c r="S21" i="62"/>
  <c r="R21" i="62"/>
  <c r="O21" i="62"/>
  <c r="N21" i="62"/>
  <c r="M21" i="62"/>
  <c r="L21" i="62"/>
  <c r="AM20" i="62"/>
  <c r="AL20" i="62"/>
  <c r="AK20" i="62"/>
  <c r="AJ20" i="62"/>
  <c r="AG20" i="62"/>
  <c r="AF20" i="62"/>
  <c r="AE20" i="62"/>
  <c r="AD20" i="62"/>
  <c r="AA20" i="62"/>
  <c r="Z20" i="62"/>
  <c r="Y20" i="62"/>
  <c r="X20" i="62"/>
  <c r="U20" i="62"/>
  <c r="T20" i="62"/>
  <c r="S20" i="62"/>
  <c r="R20" i="62"/>
  <c r="O20" i="62"/>
  <c r="N20" i="62"/>
  <c r="M20" i="62"/>
  <c r="L20" i="62"/>
  <c r="AM19" i="62"/>
  <c r="AL19" i="62"/>
  <c r="AK19" i="62"/>
  <c r="AJ19" i="62"/>
  <c r="AG19" i="62"/>
  <c r="AF19" i="62"/>
  <c r="AE19" i="62"/>
  <c r="AD19" i="62"/>
  <c r="AA19" i="62"/>
  <c r="Z19" i="62"/>
  <c r="Y19" i="62"/>
  <c r="X19" i="62"/>
  <c r="U19" i="62"/>
  <c r="T19" i="62"/>
  <c r="S19" i="62"/>
  <c r="R19" i="62"/>
  <c r="O19" i="62"/>
  <c r="N19" i="62"/>
  <c r="M19" i="62"/>
  <c r="L19" i="62"/>
  <c r="AM18" i="62"/>
  <c r="AL18" i="62"/>
  <c r="AK18" i="62"/>
  <c r="AJ18" i="62"/>
  <c r="AG18" i="62"/>
  <c r="AF18" i="62"/>
  <c r="AE18" i="62"/>
  <c r="AD18" i="62"/>
  <c r="AA18" i="62"/>
  <c r="Z18" i="62"/>
  <c r="Y18" i="62"/>
  <c r="X18" i="62"/>
  <c r="U18" i="62"/>
  <c r="T18" i="62"/>
  <c r="S18" i="62"/>
  <c r="R18" i="62"/>
  <c r="O18" i="62"/>
  <c r="N18" i="62"/>
  <c r="M18" i="62"/>
  <c r="L18" i="62"/>
  <c r="AM17" i="62"/>
  <c r="AL17" i="62"/>
  <c r="AK17" i="62"/>
  <c r="AJ17" i="62"/>
  <c r="AG17" i="62"/>
  <c r="AF17" i="62"/>
  <c r="AE17" i="62"/>
  <c r="AD17" i="62"/>
  <c r="AA17" i="62"/>
  <c r="Z17" i="62"/>
  <c r="Y17" i="62"/>
  <c r="X17" i="62"/>
  <c r="U17" i="62"/>
  <c r="T17" i="62"/>
  <c r="S17" i="62"/>
  <c r="R17" i="62"/>
  <c r="O17" i="62"/>
  <c r="N17" i="62"/>
  <c r="M17" i="62"/>
  <c r="L17" i="62"/>
  <c r="AM16" i="62"/>
  <c r="AL16" i="62"/>
  <c r="AK16" i="62"/>
  <c r="AJ16" i="62"/>
  <c r="AG16" i="62"/>
  <c r="AF16" i="62"/>
  <c r="AE16" i="62"/>
  <c r="AD16" i="62"/>
  <c r="AA16" i="62"/>
  <c r="Z16" i="62"/>
  <c r="Y16" i="62"/>
  <c r="X16" i="62"/>
  <c r="U16" i="62"/>
  <c r="T16" i="62"/>
  <c r="S16" i="62"/>
  <c r="R16" i="62"/>
  <c r="O16" i="62"/>
  <c r="N16" i="62"/>
  <c r="M16" i="62"/>
  <c r="L16" i="62"/>
  <c r="AM15" i="62"/>
  <c r="AL15" i="62"/>
  <c r="AK15" i="62"/>
  <c r="AJ15" i="62"/>
  <c r="AG15" i="62"/>
  <c r="AF15" i="62"/>
  <c r="AE15" i="62"/>
  <c r="AD15" i="62"/>
  <c r="AA15" i="62"/>
  <c r="Z15" i="62"/>
  <c r="Y15" i="62"/>
  <c r="X15" i="62"/>
  <c r="U15" i="62"/>
  <c r="T15" i="62"/>
  <c r="S15" i="62"/>
  <c r="R15" i="62"/>
  <c r="O15" i="62"/>
  <c r="N15" i="62"/>
  <c r="M15" i="62"/>
  <c r="L15" i="62"/>
  <c r="AM14" i="62"/>
  <c r="AL14" i="62"/>
  <c r="AK14" i="62"/>
  <c r="AJ14" i="62"/>
  <c r="AG14" i="62"/>
  <c r="AF14" i="62"/>
  <c r="AE14" i="62"/>
  <c r="AD14" i="62"/>
  <c r="AA14" i="62"/>
  <c r="Z14" i="62"/>
  <c r="Y14" i="62"/>
  <c r="X14" i="62"/>
  <c r="U14" i="62"/>
  <c r="T14" i="62"/>
  <c r="S14" i="62"/>
  <c r="R14" i="62"/>
  <c r="O14" i="62"/>
  <c r="N14" i="62"/>
  <c r="M14" i="62"/>
  <c r="L14" i="62"/>
  <c r="AM13" i="62"/>
  <c r="AL13" i="62"/>
  <c r="AK13" i="62"/>
  <c r="AJ13" i="62"/>
  <c r="AG13" i="62"/>
  <c r="AF13" i="62"/>
  <c r="AE13" i="62"/>
  <c r="AD13" i="62"/>
  <c r="AA13" i="62"/>
  <c r="Z13" i="62"/>
  <c r="Y13" i="62"/>
  <c r="X13" i="62"/>
  <c r="U13" i="62"/>
  <c r="T13" i="62"/>
  <c r="S13" i="62"/>
  <c r="R13" i="62"/>
  <c r="O13" i="62"/>
  <c r="N13" i="62"/>
  <c r="M13" i="62"/>
  <c r="L13" i="62"/>
  <c r="AM12" i="62"/>
  <c r="AL12" i="62"/>
  <c r="AK12" i="62"/>
  <c r="AJ12" i="62"/>
  <c r="AG12" i="62"/>
  <c r="AF12" i="62"/>
  <c r="AE12" i="62"/>
  <c r="AD12" i="62"/>
  <c r="AA12" i="62"/>
  <c r="Z12" i="62"/>
  <c r="Y12" i="62"/>
  <c r="X12" i="62"/>
  <c r="U12" i="62"/>
  <c r="T12" i="62"/>
  <c r="S12" i="62"/>
  <c r="R12" i="62"/>
  <c r="O12" i="62"/>
  <c r="N12" i="62"/>
  <c r="M12" i="62"/>
  <c r="L12" i="62"/>
  <c r="AM11" i="62"/>
  <c r="AL11" i="62"/>
  <c r="AK11" i="62"/>
  <c r="AJ11" i="62"/>
  <c r="AG11" i="62"/>
  <c r="AF11" i="62"/>
  <c r="AE11" i="62"/>
  <c r="AD11" i="62"/>
  <c r="AA11" i="62"/>
  <c r="Z11" i="62"/>
  <c r="Y11" i="62"/>
  <c r="X11" i="62"/>
  <c r="U11" i="62"/>
  <c r="T11" i="62"/>
  <c r="S11" i="62"/>
  <c r="R11" i="62"/>
  <c r="O11" i="62"/>
  <c r="N11" i="62"/>
  <c r="M11" i="62"/>
  <c r="L11" i="62"/>
  <c r="AM10" i="62"/>
  <c r="AL10" i="62"/>
  <c r="AK10" i="62"/>
  <c r="AJ10" i="62"/>
  <c r="AG10" i="62"/>
  <c r="AF10" i="62"/>
  <c r="AE10" i="62"/>
  <c r="AD10" i="62"/>
  <c r="AA10" i="62"/>
  <c r="Z10" i="62"/>
  <c r="Y10" i="62"/>
  <c r="X10" i="62"/>
  <c r="U10" i="62"/>
  <c r="T10" i="62"/>
  <c r="S10" i="62"/>
  <c r="R10" i="62"/>
  <c r="O10" i="62"/>
  <c r="N10" i="62"/>
  <c r="M10" i="62"/>
  <c r="L10" i="62"/>
  <c r="AM9" i="62"/>
  <c r="AL9" i="62"/>
  <c r="AK9" i="62"/>
  <c r="AJ9" i="62"/>
  <c r="AG9" i="62"/>
  <c r="AF9" i="62"/>
  <c r="AE9" i="62"/>
  <c r="AD9" i="62"/>
  <c r="AA9" i="62"/>
  <c r="Z9" i="62"/>
  <c r="Y9" i="62"/>
  <c r="X9" i="62"/>
  <c r="U9" i="62"/>
  <c r="T9" i="62"/>
  <c r="S9" i="62"/>
  <c r="R9" i="62"/>
  <c r="O9" i="62"/>
  <c r="N9" i="62"/>
  <c r="M9" i="62"/>
  <c r="L9" i="62"/>
  <c r="AM8" i="62"/>
  <c r="AL8" i="62"/>
  <c r="AK8" i="62"/>
  <c r="AJ8" i="62"/>
  <c r="AG8" i="62"/>
  <c r="AF8" i="62"/>
  <c r="AE8" i="62"/>
  <c r="AD8" i="62"/>
  <c r="AA8" i="62"/>
  <c r="Z8" i="62"/>
  <c r="Y8" i="62"/>
  <c r="X8" i="62"/>
  <c r="U8" i="62"/>
  <c r="T8" i="62"/>
  <c r="S8" i="62"/>
  <c r="R8" i="62"/>
  <c r="O8" i="62"/>
  <c r="N8" i="62"/>
  <c r="M8" i="62"/>
  <c r="L8" i="62"/>
  <c r="AM7" i="62"/>
  <c r="AL7" i="62"/>
  <c r="AK7" i="62"/>
  <c r="AJ7" i="62"/>
  <c r="AG7" i="62"/>
  <c r="AF7" i="62"/>
  <c r="AE7" i="62"/>
  <c r="AD7" i="62"/>
  <c r="AA7" i="62"/>
  <c r="Z7" i="62"/>
  <c r="Y7" i="62"/>
  <c r="X7" i="62"/>
  <c r="U7" i="62"/>
  <c r="T7" i="62"/>
  <c r="S7" i="62"/>
  <c r="R7" i="62"/>
  <c r="O7" i="62"/>
  <c r="N7" i="62"/>
  <c r="M7" i="62"/>
  <c r="L7" i="62"/>
  <c r="AM6" i="62"/>
  <c r="AL6" i="62"/>
  <c r="AK6" i="62"/>
  <c r="AJ6" i="62"/>
  <c r="AG6" i="62"/>
  <c r="AF6" i="62"/>
  <c r="AE6" i="62"/>
  <c r="AD6" i="62"/>
  <c r="AA6" i="62"/>
  <c r="Z6" i="62"/>
  <c r="Y6" i="62"/>
  <c r="X6" i="62"/>
  <c r="U6" i="62"/>
  <c r="T6" i="62"/>
  <c r="S6" i="62"/>
  <c r="R6" i="62"/>
  <c r="O6" i="62"/>
  <c r="N6" i="62"/>
  <c r="M6" i="62"/>
  <c r="L6" i="62"/>
  <c r="AM5" i="62"/>
  <c r="AL5" i="62"/>
  <c r="AK5" i="62"/>
  <c r="AJ5" i="62"/>
  <c r="AG5" i="62"/>
  <c r="AF5" i="62"/>
  <c r="AE5" i="62"/>
  <c r="AD5" i="62"/>
  <c r="AA5" i="62"/>
  <c r="Z5" i="62"/>
  <c r="Y5" i="62"/>
  <c r="X5" i="62"/>
  <c r="U5" i="62"/>
  <c r="T5" i="62"/>
  <c r="S5" i="62"/>
  <c r="R5" i="62"/>
  <c r="O5" i="62"/>
  <c r="N5" i="62"/>
  <c r="M5" i="62"/>
  <c r="L5" i="62"/>
  <c r="AM4" i="62"/>
  <c r="AL4" i="62"/>
  <c r="AK4" i="62"/>
  <c r="AJ4" i="62"/>
  <c r="AG4" i="62"/>
  <c r="AF4" i="62"/>
  <c r="AE4" i="62"/>
  <c r="AD4" i="62"/>
  <c r="AA4" i="62"/>
  <c r="Z4" i="62"/>
  <c r="Y4" i="62"/>
  <c r="X4" i="62"/>
  <c r="U4" i="62"/>
  <c r="U32" i="62" s="1"/>
  <c r="T4" i="62"/>
  <c r="S4" i="62"/>
  <c r="R4" i="62"/>
  <c r="O4" i="62"/>
  <c r="N4" i="62"/>
  <c r="M4" i="62"/>
  <c r="L4" i="62"/>
  <c r="AM3" i="62"/>
  <c r="AL3" i="62"/>
  <c r="AK3" i="62"/>
  <c r="AJ3" i="62"/>
  <c r="AG3" i="62"/>
  <c r="AF3" i="62"/>
  <c r="AE3" i="62"/>
  <c r="AD3" i="62"/>
  <c r="AA3" i="62"/>
  <c r="AA32" i="62" s="1"/>
  <c r="Z3" i="62"/>
  <c r="Y3" i="62"/>
  <c r="X3" i="62"/>
  <c r="U3" i="62"/>
  <c r="T3" i="62"/>
  <c r="S3" i="62"/>
  <c r="R3" i="62"/>
  <c r="O3" i="62"/>
  <c r="N3" i="62"/>
  <c r="M3" i="62"/>
  <c r="L3" i="62"/>
  <c r="AM2" i="62"/>
  <c r="AM32" i="62" s="1"/>
  <c r="AL2" i="62"/>
  <c r="AL32" i="62" s="1"/>
  <c r="AK2" i="62"/>
  <c r="AK32" i="62" s="1"/>
  <c r="AJ2" i="62"/>
  <c r="AJ32" i="62" s="1"/>
  <c r="AG2" i="62"/>
  <c r="AG32" i="62" s="1"/>
  <c r="AF2" i="62"/>
  <c r="AF32" i="62" s="1"/>
  <c r="AE2" i="62"/>
  <c r="AE32" i="62" s="1"/>
  <c r="AD2" i="62"/>
  <c r="AD32" i="62" s="1"/>
  <c r="AA2" i="62"/>
  <c r="Z2" i="62"/>
  <c r="Y2" i="62"/>
  <c r="X2" i="62"/>
  <c r="U2" i="62"/>
  <c r="T2" i="62"/>
  <c r="S2" i="62"/>
  <c r="R2" i="62"/>
  <c r="O2" i="62"/>
  <c r="O32" i="62" s="1"/>
  <c r="N2" i="62"/>
  <c r="N32" i="62" s="1"/>
  <c r="M2" i="62"/>
  <c r="M32" i="62" s="1"/>
  <c r="L2" i="62"/>
  <c r="L32" i="62" s="1"/>
  <c r="N42" i="1"/>
  <c r="S42" i="1"/>
  <c r="T42" i="1"/>
  <c r="AD42" i="1"/>
  <c r="AE42" i="1"/>
  <c r="AF42" i="1"/>
  <c r="X42" i="1"/>
  <c r="R42" i="1"/>
</calcChain>
</file>

<file path=xl/sharedStrings.xml><?xml version="1.0" encoding="utf-8"?>
<sst xmlns="http://schemas.openxmlformats.org/spreadsheetml/2006/main" count="528" uniqueCount="58">
  <si>
    <t>SRAD</t>
  </si>
  <si>
    <t>TMAX</t>
  </si>
  <si>
    <t>TMIN</t>
  </si>
  <si>
    <t>RAIN</t>
  </si>
  <si>
    <t>YEARLY</t>
  </si>
  <si>
    <t>SWM</t>
  </si>
  <si>
    <t>CWP</t>
  </si>
  <si>
    <t>HWP</t>
  </si>
  <si>
    <t>NEM</t>
  </si>
  <si>
    <t>NEAR</t>
  </si>
  <si>
    <t>SHORT</t>
  </si>
  <si>
    <t>MID</t>
  </si>
  <si>
    <t>SSP245_1</t>
  </si>
  <si>
    <t>SSP245_2</t>
  </si>
  <si>
    <t>SSP245_3</t>
  </si>
  <si>
    <t>SSP245_4</t>
  </si>
  <si>
    <t>SSP245_5</t>
  </si>
  <si>
    <t>SSP245_6</t>
  </si>
  <si>
    <t>SSP245_7</t>
  </si>
  <si>
    <t>SSP245_8</t>
  </si>
  <si>
    <t>SSP585_1</t>
  </si>
  <si>
    <t>SSP585_2</t>
  </si>
  <si>
    <t>SSP585_3</t>
  </si>
  <si>
    <t>SSP585_4</t>
  </si>
  <si>
    <t>SSP585_5</t>
  </si>
  <si>
    <t>SSP585_6</t>
  </si>
  <si>
    <t>SSP585_7</t>
  </si>
  <si>
    <t>SSP585_8</t>
  </si>
  <si>
    <t>RCP45_1</t>
  </si>
  <si>
    <t>RCP45_2</t>
  </si>
  <si>
    <t>RCP45_3</t>
  </si>
  <si>
    <t>RCP45_4</t>
  </si>
  <si>
    <t>RCP45_5</t>
  </si>
  <si>
    <t>RCP45_6</t>
  </si>
  <si>
    <t>RCP45_7</t>
  </si>
  <si>
    <t>RCP45_8</t>
  </si>
  <si>
    <t>RCP85_1</t>
  </si>
  <si>
    <t>RCP85_2</t>
  </si>
  <si>
    <t>RCP85_3</t>
  </si>
  <si>
    <t>RCP85_4</t>
  </si>
  <si>
    <t>RCP85_5</t>
  </si>
  <si>
    <t>RCP85_6</t>
  </si>
  <si>
    <t>RCP85_7</t>
  </si>
  <si>
    <t>RCP85_8</t>
  </si>
  <si>
    <t>Base_1</t>
  </si>
  <si>
    <t>Base_2</t>
  </si>
  <si>
    <t>Base_3</t>
  </si>
  <si>
    <t>Base_4</t>
  </si>
  <si>
    <t>Base_5</t>
  </si>
  <si>
    <t>Base_6</t>
  </si>
  <si>
    <t>Base_7</t>
  </si>
  <si>
    <t>Base_8</t>
  </si>
  <si>
    <t>NEAR-SSP245</t>
  </si>
  <si>
    <t>NEAR-SSP585</t>
  </si>
  <si>
    <t>SHORT-SSP245</t>
  </si>
  <si>
    <t>SHORT-SSP585</t>
  </si>
  <si>
    <t>MID-SSP245</t>
  </si>
  <si>
    <t>MID-SSP585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</si>
</sst>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64" fontId="1" fillId="0" borderId="0" xfId="0" applyNumberFormat="1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F12C9-8C1B-4876-9E7D-FA2C7CEACA9D}">
  <sheetPr codeName="Sheet57"/>
  <dimension ref="K1:AM32"/>
  <sheetViews>
    <sheetView workbookViewId="0">
      <selection activeCell="K1" sqref="K1:AM32"/>
    </sheetView>
  </sheetViews>
  <sheetFormatPr defaultRowHeight="14.4" x14ac:dyDescent="0.3"/>
  <sheetData>
    <row r="1" spans="11:39" x14ac:dyDescent="0.3">
      <c r="K1" t="s">
        <v>4</v>
      </c>
      <c r="L1" t="s">
        <v>0</v>
      </c>
      <c r="M1" t="s">
        <v>1</v>
      </c>
      <c r="N1" t="s">
        <v>2</v>
      </c>
      <c r="O1" t="s">
        <v>3</v>
      </c>
      <c r="Q1" t="s">
        <v>6</v>
      </c>
      <c r="R1" t="s">
        <v>0</v>
      </c>
      <c r="S1" t="s">
        <v>1</v>
      </c>
      <c r="T1" t="s">
        <v>2</v>
      </c>
      <c r="U1" t="s">
        <v>3</v>
      </c>
      <c r="W1" t="s">
        <v>7</v>
      </c>
      <c r="X1" t="s">
        <v>0</v>
      </c>
      <c r="Y1" t="s">
        <v>1</v>
      </c>
      <c r="Z1" t="s">
        <v>2</v>
      </c>
      <c r="AA1" t="s">
        <v>3</v>
      </c>
      <c r="AC1" t="s">
        <v>5</v>
      </c>
      <c r="AD1" t="s">
        <v>0</v>
      </c>
      <c r="AE1" t="s">
        <v>1</v>
      </c>
      <c r="AF1" t="s">
        <v>2</v>
      </c>
      <c r="AG1" t="s">
        <v>3</v>
      </c>
      <c r="AI1" t="s">
        <v>8</v>
      </c>
      <c r="AJ1" t="s">
        <v>0</v>
      </c>
      <c r="AK1" t="s">
        <v>1</v>
      </c>
      <c r="AL1" t="s">
        <v>2</v>
      </c>
      <c r="AM1" t="s">
        <v>3</v>
      </c>
    </row>
    <row r="2" spans="11:39" x14ac:dyDescent="0.3">
      <c r="K2">
        <v>1976</v>
      </c>
      <c r="L2" s="1" t="e">
        <f>AVERAGEIF($F$2:$F$10959,$K2,B$2:B$10959)</f>
        <v>#DIV/0!</v>
      </c>
      <c r="M2" s="1" t="e">
        <f t="shared" ref="M2:N17" si="0">AVERAGEIF($F$2:$F$10959,$K2,C$2:C$10959)</f>
        <v>#DIV/0!</v>
      </c>
      <c r="N2" s="1" t="e">
        <f t="shared" si="0"/>
        <v>#DIV/0!</v>
      </c>
      <c r="O2" s="1">
        <f>SUMIF($F$2:$F$10959,$K2,E$2:E$10959)</f>
        <v>0</v>
      </c>
      <c r="Q2">
        <v>1976</v>
      </c>
      <c r="R2" s="1" t="e">
        <f>AVERAGEIFS(B$2:B$10959,$F$2:$F$10959,$Q2,$G$2:$G$10959,"&gt;=1",$G$2:$G$10959,"&lt;=2")</f>
        <v>#DIV/0!</v>
      </c>
      <c r="S2" s="1" t="e">
        <f t="shared" ref="S2:T17" si="1">AVERAGEIFS(C$2:C$10959,$F$2:$F$10959,$Q2,$G$2:$G$10959,"&gt;=1",$G$2:$G$10959,"&lt;=2")</f>
        <v>#DIV/0!</v>
      </c>
      <c r="T2" s="1" t="e">
        <f t="shared" si="1"/>
        <v>#DIV/0!</v>
      </c>
      <c r="U2" s="1">
        <f>SUMIFS(E$2:E$10959,$F$2:$F$10959,$Q2,$G$2:$G$10959,"&gt;=1",$G$2:$G$10959,"&lt;=2")</f>
        <v>0</v>
      </c>
      <c r="W2">
        <v>1976</v>
      </c>
      <c r="X2" s="1" t="e">
        <f>AVERAGEIFS(B$2:B$10959,$F$2:$F$10959,$W2,$G$2:$G$10959,"&gt;=3",$G$2:$G$10959,"&lt;=5")</f>
        <v>#DIV/0!</v>
      </c>
      <c r="Y2" s="1" t="e">
        <f t="shared" ref="Y2:Z17" si="2">AVERAGEIFS(C$2:C$10959,$F$2:$F$10959,$W2,$G$2:$G$10959,"&gt;=3",$G$2:$G$10959,"&lt;=5")</f>
        <v>#DIV/0!</v>
      </c>
      <c r="Z2" s="1" t="e">
        <f t="shared" si="2"/>
        <v>#DIV/0!</v>
      </c>
      <c r="AA2" s="1">
        <f>SUMIFS(E$2:E$10959,$F$2:$F$10959,$W2,$G$2:$G$10959,"&gt;=3",$G$2:$G$10959,"&lt;=5")</f>
        <v>0</v>
      </c>
      <c r="AC2">
        <v>1976</v>
      </c>
      <c r="AD2" s="1" t="e">
        <f>AVERAGEIFS(B$2:B$10959,$F$2:$F$10959,$AC2,$G$2:$G$10959,"&gt;=6",$G$2:$G$10959,"&lt;=9")</f>
        <v>#DIV/0!</v>
      </c>
      <c r="AE2" s="1" t="e">
        <f t="shared" ref="AE2:AF17" si="3">AVERAGEIFS(C$2:C$10959,$F$2:$F$10959,$AC2,$G$2:$G$10959,"&gt;=6",$G$2:$G$10959,"&lt;=9")</f>
        <v>#DIV/0!</v>
      </c>
      <c r="AF2" s="1" t="e">
        <f t="shared" si="3"/>
        <v>#DIV/0!</v>
      </c>
      <c r="AG2" s="1">
        <f>SUMIFS(E$2:E$10959,$F$2:$F$10959,$AC2,$G$2:$G$10959,"&gt;=6",$G$2:$G$10959,"&lt;=9")</f>
        <v>0</v>
      </c>
      <c r="AI2">
        <v>1976</v>
      </c>
      <c r="AJ2" s="1" t="e">
        <f>AVERAGEIFS(B$2:B$10959,$F$2:$F$10959,$AI2,$G$2:$G$10959,"&gt;=10",$G$2:$G$10959,"&lt;=12")</f>
        <v>#DIV/0!</v>
      </c>
      <c r="AK2" s="1" t="e">
        <f t="shared" ref="AK2:AL17" si="4">AVERAGEIFS(C$2:C$10959,$F$2:$F$10959,$AI2,$G$2:$G$10959,"&gt;=10",$G$2:$G$10959,"&lt;=12")</f>
        <v>#DIV/0!</v>
      </c>
      <c r="AL2" s="1" t="e">
        <f t="shared" si="4"/>
        <v>#DIV/0!</v>
      </c>
      <c r="AM2" s="1">
        <f>SUMIFS(E$2:E$10959,$F$2:$F$10959,$AI2,$G$2:$G$10959,"&gt;=10",$G$2:$G$10959,"&lt;=12")</f>
        <v>0</v>
      </c>
    </row>
    <row r="3" spans="11:39" x14ac:dyDescent="0.3">
      <c r="K3">
        <v>1977</v>
      </c>
      <c r="L3" s="1" t="e">
        <f t="shared" ref="L3:N31" si="5">AVERAGEIF($F$2:$F$10959,$K3,B$2:B$10959)</f>
        <v>#DIV/0!</v>
      </c>
      <c r="M3" s="1" t="e">
        <f t="shared" si="0"/>
        <v>#DIV/0!</v>
      </c>
      <c r="N3" s="1" t="e">
        <f t="shared" si="0"/>
        <v>#DIV/0!</v>
      </c>
      <c r="O3" s="1">
        <f t="shared" ref="O3:O31" si="6">SUMIF($F$2:$F$10959,$K3,E$2:E$10959)</f>
        <v>0</v>
      </c>
      <c r="Q3">
        <v>1977</v>
      </c>
      <c r="R3" s="1" t="e">
        <f t="shared" ref="R3:T31" si="7">AVERAGEIFS(B$2:B$10959,$F$2:$F$10959,$Q3,$G$2:$G$10959,"&gt;=1",$G$2:$G$10959,"&lt;=2")</f>
        <v>#DIV/0!</v>
      </c>
      <c r="S3" s="1" t="e">
        <f t="shared" si="1"/>
        <v>#DIV/0!</v>
      </c>
      <c r="T3" s="1" t="e">
        <f t="shared" si="1"/>
        <v>#DIV/0!</v>
      </c>
      <c r="U3" s="1">
        <f t="shared" ref="U3:U31" si="8">SUMIFS(E$2:E$10959,$F$2:$F$10959,$Q3,$G$2:$G$10959,"&gt;=1",$G$2:$G$10959,"&lt;=2")</f>
        <v>0</v>
      </c>
      <c r="W3">
        <v>1977</v>
      </c>
      <c r="X3" s="1" t="e">
        <f t="shared" ref="X3:Z31" si="9">AVERAGEIFS(B$2:B$10959,$F$2:$F$10959,$W3,$G$2:$G$10959,"&gt;=3",$G$2:$G$10959,"&lt;=5")</f>
        <v>#DIV/0!</v>
      </c>
      <c r="Y3" s="1" t="e">
        <f t="shared" si="2"/>
        <v>#DIV/0!</v>
      </c>
      <c r="Z3" s="1" t="e">
        <f t="shared" si="2"/>
        <v>#DIV/0!</v>
      </c>
      <c r="AA3" s="1">
        <f t="shared" ref="AA3:AA31" si="10">SUMIFS(E$2:E$10959,$F$2:$F$10959,$W3,$G$2:$G$10959,"&gt;=3",$G$2:$G$10959,"&lt;=5")</f>
        <v>0</v>
      </c>
      <c r="AC3">
        <v>1977</v>
      </c>
      <c r="AD3" s="1" t="e">
        <f t="shared" ref="AD3:AF31" si="11">AVERAGEIFS(B$2:B$10959,$F$2:$F$10959,$AC3,$G$2:$G$10959,"&gt;=6",$G$2:$G$10959,"&lt;=9")</f>
        <v>#DIV/0!</v>
      </c>
      <c r="AE3" s="1" t="e">
        <f t="shared" si="3"/>
        <v>#DIV/0!</v>
      </c>
      <c r="AF3" s="1" t="e">
        <f t="shared" si="3"/>
        <v>#DIV/0!</v>
      </c>
      <c r="AG3" s="1">
        <f t="shared" ref="AG3:AG31" si="12">SUMIFS(E$2:E$10959,$F$2:$F$10959,$AC3,$G$2:$G$10959,"&gt;=6",$G$2:$G$10959,"&lt;=9")</f>
        <v>0</v>
      </c>
      <c r="AI3">
        <v>1977</v>
      </c>
      <c r="AJ3" s="1" t="e">
        <f t="shared" ref="AJ3:AL31" si="13">AVERAGEIFS(B$2:B$10959,$F$2:$F$10959,$AI3,$G$2:$G$10959,"&gt;=10",$G$2:$G$10959,"&lt;=12")</f>
        <v>#DIV/0!</v>
      </c>
      <c r="AK3" s="1" t="e">
        <f t="shared" si="4"/>
        <v>#DIV/0!</v>
      </c>
      <c r="AL3" s="1" t="e">
        <f t="shared" si="4"/>
        <v>#DIV/0!</v>
      </c>
      <c r="AM3" s="1">
        <f t="shared" ref="AM3:AM31" si="14">SUMIFS(E$2:E$10959,$F$2:$F$10959,$AI3,$G$2:$G$10959,"&gt;=10",$G$2:$G$10959,"&lt;=12")</f>
        <v>0</v>
      </c>
    </row>
    <row r="4" spans="11:39" x14ac:dyDescent="0.3">
      <c r="K4">
        <v>1978</v>
      </c>
      <c r="L4" s="1" t="e">
        <f t="shared" si="5"/>
        <v>#DIV/0!</v>
      </c>
      <c r="M4" s="1" t="e">
        <f t="shared" si="0"/>
        <v>#DIV/0!</v>
      </c>
      <c r="N4" s="1" t="e">
        <f t="shared" si="0"/>
        <v>#DIV/0!</v>
      </c>
      <c r="O4" s="1">
        <f t="shared" si="6"/>
        <v>0</v>
      </c>
      <c r="Q4">
        <v>1978</v>
      </c>
      <c r="R4" s="1" t="e">
        <f t="shared" si="7"/>
        <v>#DIV/0!</v>
      </c>
      <c r="S4" s="1" t="e">
        <f t="shared" si="1"/>
        <v>#DIV/0!</v>
      </c>
      <c r="T4" s="1" t="e">
        <f t="shared" si="1"/>
        <v>#DIV/0!</v>
      </c>
      <c r="U4" s="1">
        <f t="shared" si="8"/>
        <v>0</v>
      </c>
      <c r="W4">
        <v>1978</v>
      </c>
      <c r="X4" s="1" t="e">
        <f t="shared" si="9"/>
        <v>#DIV/0!</v>
      </c>
      <c r="Y4" s="1" t="e">
        <f t="shared" si="2"/>
        <v>#DIV/0!</v>
      </c>
      <c r="Z4" s="1" t="e">
        <f t="shared" si="2"/>
        <v>#DIV/0!</v>
      </c>
      <c r="AA4" s="1">
        <f t="shared" si="10"/>
        <v>0</v>
      </c>
      <c r="AC4">
        <v>1978</v>
      </c>
      <c r="AD4" s="1" t="e">
        <f t="shared" si="11"/>
        <v>#DIV/0!</v>
      </c>
      <c r="AE4" s="1" t="e">
        <f t="shared" si="3"/>
        <v>#DIV/0!</v>
      </c>
      <c r="AF4" s="1" t="e">
        <f t="shared" si="3"/>
        <v>#DIV/0!</v>
      </c>
      <c r="AG4" s="1">
        <f t="shared" si="12"/>
        <v>0</v>
      </c>
      <c r="AI4">
        <v>1978</v>
      </c>
      <c r="AJ4" s="1" t="e">
        <f t="shared" si="13"/>
        <v>#DIV/0!</v>
      </c>
      <c r="AK4" s="1" t="e">
        <f t="shared" si="4"/>
        <v>#DIV/0!</v>
      </c>
      <c r="AL4" s="1" t="e">
        <f t="shared" si="4"/>
        <v>#DIV/0!</v>
      </c>
      <c r="AM4" s="1">
        <f t="shared" si="14"/>
        <v>0</v>
      </c>
    </row>
    <row r="5" spans="11:39" x14ac:dyDescent="0.3">
      <c r="K5">
        <v>1979</v>
      </c>
      <c r="L5" s="1" t="e">
        <f t="shared" si="5"/>
        <v>#DIV/0!</v>
      </c>
      <c r="M5" s="1" t="e">
        <f t="shared" si="0"/>
        <v>#DIV/0!</v>
      </c>
      <c r="N5" s="1" t="e">
        <f t="shared" si="0"/>
        <v>#DIV/0!</v>
      </c>
      <c r="O5" s="1">
        <f t="shared" si="6"/>
        <v>0</v>
      </c>
      <c r="Q5">
        <v>1979</v>
      </c>
      <c r="R5" s="1" t="e">
        <f t="shared" si="7"/>
        <v>#DIV/0!</v>
      </c>
      <c r="S5" s="1" t="e">
        <f t="shared" si="1"/>
        <v>#DIV/0!</v>
      </c>
      <c r="T5" s="1" t="e">
        <f t="shared" si="1"/>
        <v>#DIV/0!</v>
      </c>
      <c r="U5" s="1">
        <f t="shared" si="8"/>
        <v>0</v>
      </c>
      <c r="W5">
        <v>1979</v>
      </c>
      <c r="X5" s="1" t="e">
        <f t="shared" si="9"/>
        <v>#DIV/0!</v>
      </c>
      <c r="Y5" s="1" t="e">
        <f t="shared" si="2"/>
        <v>#DIV/0!</v>
      </c>
      <c r="Z5" s="1" t="e">
        <f t="shared" si="2"/>
        <v>#DIV/0!</v>
      </c>
      <c r="AA5" s="1">
        <f t="shared" si="10"/>
        <v>0</v>
      </c>
      <c r="AC5">
        <v>1979</v>
      </c>
      <c r="AD5" s="1" t="e">
        <f t="shared" si="11"/>
        <v>#DIV/0!</v>
      </c>
      <c r="AE5" s="1" t="e">
        <f t="shared" si="3"/>
        <v>#DIV/0!</v>
      </c>
      <c r="AF5" s="1" t="e">
        <f t="shared" si="3"/>
        <v>#DIV/0!</v>
      </c>
      <c r="AG5" s="1">
        <f t="shared" si="12"/>
        <v>0</v>
      </c>
      <c r="AI5">
        <v>1979</v>
      </c>
      <c r="AJ5" s="1" t="e">
        <f t="shared" si="13"/>
        <v>#DIV/0!</v>
      </c>
      <c r="AK5" s="1" t="e">
        <f t="shared" si="4"/>
        <v>#DIV/0!</v>
      </c>
      <c r="AL5" s="1" t="e">
        <f t="shared" si="4"/>
        <v>#DIV/0!</v>
      </c>
      <c r="AM5" s="1">
        <f t="shared" si="14"/>
        <v>0</v>
      </c>
    </row>
    <row r="6" spans="11:39" x14ac:dyDescent="0.3">
      <c r="K6">
        <v>1980</v>
      </c>
      <c r="L6" s="1" t="e">
        <f t="shared" si="5"/>
        <v>#DIV/0!</v>
      </c>
      <c r="M6" s="1" t="e">
        <f t="shared" si="0"/>
        <v>#DIV/0!</v>
      </c>
      <c r="N6" s="1" t="e">
        <f t="shared" si="0"/>
        <v>#DIV/0!</v>
      </c>
      <c r="O6" s="1">
        <f t="shared" si="6"/>
        <v>0</v>
      </c>
      <c r="Q6">
        <v>1980</v>
      </c>
      <c r="R6" s="1" t="e">
        <f t="shared" si="7"/>
        <v>#DIV/0!</v>
      </c>
      <c r="S6" s="1" t="e">
        <f t="shared" si="1"/>
        <v>#DIV/0!</v>
      </c>
      <c r="T6" s="1" t="e">
        <f t="shared" si="1"/>
        <v>#DIV/0!</v>
      </c>
      <c r="U6" s="1">
        <f t="shared" si="8"/>
        <v>0</v>
      </c>
      <c r="W6">
        <v>1980</v>
      </c>
      <c r="X6" s="1" t="e">
        <f t="shared" si="9"/>
        <v>#DIV/0!</v>
      </c>
      <c r="Y6" s="1" t="e">
        <f t="shared" si="2"/>
        <v>#DIV/0!</v>
      </c>
      <c r="Z6" s="1" t="e">
        <f t="shared" si="2"/>
        <v>#DIV/0!</v>
      </c>
      <c r="AA6" s="1">
        <f t="shared" si="10"/>
        <v>0</v>
      </c>
      <c r="AC6">
        <v>1980</v>
      </c>
      <c r="AD6" s="1" t="e">
        <f t="shared" si="11"/>
        <v>#DIV/0!</v>
      </c>
      <c r="AE6" s="1" t="e">
        <f t="shared" si="3"/>
        <v>#DIV/0!</v>
      </c>
      <c r="AF6" s="1" t="e">
        <f t="shared" si="3"/>
        <v>#DIV/0!</v>
      </c>
      <c r="AG6" s="1">
        <f t="shared" si="12"/>
        <v>0</v>
      </c>
      <c r="AI6">
        <v>1980</v>
      </c>
      <c r="AJ6" s="1" t="e">
        <f t="shared" si="13"/>
        <v>#DIV/0!</v>
      </c>
      <c r="AK6" s="1" t="e">
        <f t="shared" si="4"/>
        <v>#DIV/0!</v>
      </c>
      <c r="AL6" s="1" t="e">
        <f t="shared" si="4"/>
        <v>#DIV/0!</v>
      </c>
      <c r="AM6" s="1">
        <f t="shared" si="14"/>
        <v>0</v>
      </c>
    </row>
    <row r="7" spans="11:39" x14ac:dyDescent="0.3">
      <c r="K7">
        <v>1981</v>
      </c>
      <c r="L7" s="1" t="e">
        <f t="shared" si="5"/>
        <v>#DIV/0!</v>
      </c>
      <c r="M7" s="1" t="e">
        <f t="shared" si="0"/>
        <v>#DIV/0!</v>
      </c>
      <c r="N7" s="1" t="e">
        <f t="shared" si="0"/>
        <v>#DIV/0!</v>
      </c>
      <c r="O7" s="1">
        <f t="shared" si="6"/>
        <v>0</v>
      </c>
      <c r="Q7">
        <v>1981</v>
      </c>
      <c r="R7" s="1" t="e">
        <f t="shared" si="7"/>
        <v>#DIV/0!</v>
      </c>
      <c r="S7" s="1" t="e">
        <f t="shared" si="1"/>
        <v>#DIV/0!</v>
      </c>
      <c r="T7" s="1" t="e">
        <f t="shared" si="1"/>
        <v>#DIV/0!</v>
      </c>
      <c r="U7" s="1">
        <f t="shared" si="8"/>
        <v>0</v>
      </c>
      <c r="W7">
        <v>1981</v>
      </c>
      <c r="X7" s="1" t="e">
        <f t="shared" si="9"/>
        <v>#DIV/0!</v>
      </c>
      <c r="Y7" s="1" t="e">
        <f t="shared" si="2"/>
        <v>#DIV/0!</v>
      </c>
      <c r="Z7" s="1" t="e">
        <f t="shared" si="2"/>
        <v>#DIV/0!</v>
      </c>
      <c r="AA7" s="1">
        <f t="shared" si="10"/>
        <v>0</v>
      </c>
      <c r="AC7">
        <v>1981</v>
      </c>
      <c r="AD7" s="1" t="e">
        <f t="shared" si="11"/>
        <v>#DIV/0!</v>
      </c>
      <c r="AE7" s="1" t="e">
        <f t="shared" si="3"/>
        <v>#DIV/0!</v>
      </c>
      <c r="AF7" s="1" t="e">
        <f t="shared" si="3"/>
        <v>#DIV/0!</v>
      </c>
      <c r="AG7" s="1">
        <f t="shared" si="12"/>
        <v>0</v>
      </c>
      <c r="AI7">
        <v>1981</v>
      </c>
      <c r="AJ7" s="1" t="e">
        <f t="shared" si="13"/>
        <v>#DIV/0!</v>
      </c>
      <c r="AK7" s="1" t="e">
        <f t="shared" si="4"/>
        <v>#DIV/0!</v>
      </c>
      <c r="AL7" s="1" t="e">
        <f t="shared" si="4"/>
        <v>#DIV/0!</v>
      </c>
      <c r="AM7" s="1">
        <f t="shared" si="14"/>
        <v>0</v>
      </c>
    </row>
    <row r="8" spans="11:39" x14ac:dyDescent="0.3">
      <c r="K8">
        <v>1982</v>
      </c>
      <c r="L8" s="1" t="e">
        <f t="shared" si="5"/>
        <v>#DIV/0!</v>
      </c>
      <c r="M8" s="1" t="e">
        <f t="shared" si="0"/>
        <v>#DIV/0!</v>
      </c>
      <c r="N8" s="1" t="e">
        <f t="shared" si="0"/>
        <v>#DIV/0!</v>
      </c>
      <c r="O8" s="1">
        <f t="shared" si="6"/>
        <v>0</v>
      </c>
      <c r="Q8">
        <v>1982</v>
      </c>
      <c r="R8" s="1" t="e">
        <f t="shared" si="7"/>
        <v>#DIV/0!</v>
      </c>
      <c r="S8" s="1" t="e">
        <f t="shared" si="1"/>
        <v>#DIV/0!</v>
      </c>
      <c r="T8" s="1" t="e">
        <f t="shared" si="1"/>
        <v>#DIV/0!</v>
      </c>
      <c r="U8" s="1">
        <f t="shared" si="8"/>
        <v>0</v>
      </c>
      <c r="W8">
        <v>1982</v>
      </c>
      <c r="X8" s="1" t="e">
        <f t="shared" si="9"/>
        <v>#DIV/0!</v>
      </c>
      <c r="Y8" s="1" t="e">
        <f t="shared" si="2"/>
        <v>#DIV/0!</v>
      </c>
      <c r="Z8" s="1" t="e">
        <f t="shared" si="2"/>
        <v>#DIV/0!</v>
      </c>
      <c r="AA8" s="1">
        <f t="shared" si="10"/>
        <v>0</v>
      </c>
      <c r="AC8">
        <v>1982</v>
      </c>
      <c r="AD8" s="1" t="e">
        <f t="shared" si="11"/>
        <v>#DIV/0!</v>
      </c>
      <c r="AE8" s="1" t="e">
        <f t="shared" si="3"/>
        <v>#DIV/0!</v>
      </c>
      <c r="AF8" s="1" t="e">
        <f t="shared" si="3"/>
        <v>#DIV/0!</v>
      </c>
      <c r="AG8" s="1">
        <f t="shared" si="12"/>
        <v>0</v>
      </c>
      <c r="AI8">
        <v>1982</v>
      </c>
      <c r="AJ8" s="1" t="e">
        <f t="shared" si="13"/>
        <v>#DIV/0!</v>
      </c>
      <c r="AK8" s="1" t="e">
        <f t="shared" si="4"/>
        <v>#DIV/0!</v>
      </c>
      <c r="AL8" s="1" t="e">
        <f t="shared" si="4"/>
        <v>#DIV/0!</v>
      </c>
      <c r="AM8" s="1">
        <f t="shared" si="14"/>
        <v>0</v>
      </c>
    </row>
    <row r="9" spans="11:39" x14ac:dyDescent="0.3">
      <c r="K9">
        <v>1983</v>
      </c>
      <c r="L9" s="1" t="e">
        <f t="shared" si="5"/>
        <v>#DIV/0!</v>
      </c>
      <c r="M9" s="1" t="e">
        <f t="shared" si="0"/>
        <v>#DIV/0!</v>
      </c>
      <c r="N9" s="1" t="e">
        <f t="shared" si="0"/>
        <v>#DIV/0!</v>
      </c>
      <c r="O9" s="1">
        <f t="shared" si="6"/>
        <v>0</v>
      </c>
      <c r="Q9">
        <v>1983</v>
      </c>
      <c r="R9" s="1" t="e">
        <f t="shared" si="7"/>
        <v>#DIV/0!</v>
      </c>
      <c r="S9" s="1" t="e">
        <f t="shared" si="1"/>
        <v>#DIV/0!</v>
      </c>
      <c r="T9" s="1" t="e">
        <f t="shared" si="1"/>
        <v>#DIV/0!</v>
      </c>
      <c r="U9" s="1">
        <f t="shared" si="8"/>
        <v>0</v>
      </c>
      <c r="W9">
        <v>1983</v>
      </c>
      <c r="X9" s="1" t="e">
        <f t="shared" si="9"/>
        <v>#DIV/0!</v>
      </c>
      <c r="Y9" s="1" t="e">
        <f t="shared" si="2"/>
        <v>#DIV/0!</v>
      </c>
      <c r="Z9" s="1" t="e">
        <f t="shared" si="2"/>
        <v>#DIV/0!</v>
      </c>
      <c r="AA9" s="1">
        <f t="shared" si="10"/>
        <v>0</v>
      </c>
      <c r="AC9">
        <v>1983</v>
      </c>
      <c r="AD9" s="1" t="e">
        <f t="shared" si="11"/>
        <v>#DIV/0!</v>
      </c>
      <c r="AE9" s="1" t="e">
        <f t="shared" si="3"/>
        <v>#DIV/0!</v>
      </c>
      <c r="AF9" s="1" t="e">
        <f t="shared" si="3"/>
        <v>#DIV/0!</v>
      </c>
      <c r="AG9" s="1">
        <f t="shared" si="12"/>
        <v>0</v>
      </c>
      <c r="AI9">
        <v>1983</v>
      </c>
      <c r="AJ9" s="1" t="e">
        <f t="shared" si="13"/>
        <v>#DIV/0!</v>
      </c>
      <c r="AK9" s="1" t="e">
        <f t="shared" si="4"/>
        <v>#DIV/0!</v>
      </c>
      <c r="AL9" s="1" t="e">
        <f t="shared" si="4"/>
        <v>#DIV/0!</v>
      </c>
      <c r="AM9" s="1">
        <f t="shared" si="14"/>
        <v>0</v>
      </c>
    </row>
    <row r="10" spans="11:39" x14ac:dyDescent="0.3">
      <c r="K10">
        <v>1984</v>
      </c>
      <c r="L10" s="1" t="e">
        <f t="shared" si="5"/>
        <v>#DIV/0!</v>
      </c>
      <c r="M10" s="1" t="e">
        <f t="shared" si="0"/>
        <v>#DIV/0!</v>
      </c>
      <c r="N10" s="1" t="e">
        <f t="shared" si="0"/>
        <v>#DIV/0!</v>
      </c>
      <c r="O10" s="1">
        <f t="shared" si="6"/>
        <v>0</v>
      </c>
      <c r="Q10">
        <v>1984</v>
      </c>
      <c r="R10" s="1" t="e">
        <f t="shared" si="7"/>
        <v>#DIV/0!</v>
      </c>
      <c r="S10" s="1" t="e">
        <f t="shared" si="1"/>
        <v>#DIV/0!</v>
      </c>
      <c r="T10" s="1" t="e">
        <f t="shared" si="1"/>
        <v>#DIV/0!</v>
      </c>
      <c r="U10" s="1">
        <f t="shared" si="8"/>
        <v>0</v>
      </c>
      <c r="W10">
        <v>1984</v>
      </c>
      <c r="X10" s="1" t="e">
        <f t="shared" si="9"/>
        <v>#DIV/0!</v>
      </c>
      <c r="Y10" s="1" t="e">
        <f t="shared" si="2"/>
        <v>#DIV/0!</v>
      </c>
      <c r="Z10" s="1" t="e">
        <f t="shared" si="2"/>
        <v>#DIV/0!</v>
      </c>
      <c r="AA10" s="1">
        <f t="shared" si="10"/>
        <v>0</v>
      </c>
      <c r="AC10">
        <v>1984</v>
      </c>
      <c r="AD10" s="1" t="e">
        <f t="shared" si="11"/>
        <v>#DIV/0!</v>
      </c>
      <c r="AE10" s="1" t="e">
        <f t="shared" si="3"/>
        <v>#DIV/0!</v>
      </c>
      <c r="AF10" s="1" t="e">
        <f t="shared" si="3"/>
        <v>#DIV/0!</v>
      </c>
      <c r="AG10" s="1">
        <f t="shared" si="12"/>
        <v>0</v>
      </c>
      <c r="AI10">
        <v>1984</v>
      </c>
      <c r="AJ10" s="1" t="e">
        <f t="shared" si="13"/>
        <v>#DIV/0!</v>
      </c>
      <c r="AK10" s="1" t="e">
        <f t="shared" si="4"/>
        <v>#DIV/0!</v>
      </c>
      <c r="AL10" s="1" t="e">
        <f t="shared" si="4"/>
        <v>#DIV/0!</v>
      </c>
      <c r="AM10" s="1">
        <f t="shared" si="14"/>
        <v>0</v>
      </c>
    </row>
    <row r="11" spans="11:39" x14ac:dyDescent="0.3">
      <c r="K11">
        <v>1985</v>
      </c>
      <c r="L11" s="1" t="e">
        <f t="shared" si="5"/>
        <v>#DIV/0!</v>
      </c>
      <c r="M11" s="1" t="e">
        <f t="shared" si="0"/>
        <v>#DIV/0!</v>
      </c>
      <c r="N11" s="1" t="e">
        <f t="shared" si="0"/>
        <v>#DIV/0!</v>
      </c>
      <c r="O11" s="1">
        <f t="shared" si="6"/>
        <v>0</v>
      </c>
      <c r="Q11">
        <v>1985</v>
      </c>
      <c r="R11" s="1" t="e">
        <f t="shared" si="7"/>
        <v>#DIV/0!</v>
      </c>
      <c r="S11" s="1" t="e">
        <f t="shared" si="1"/>
        <v>#DIV/0!</v>
      </c>
      <c r="T11" s="1" t="e">
        <f t="shared" si="1"/>
        <v>#DIV/0!</v>
      </c>
      <c r="U11" s="1">
        <f t="shared" si="8"/>
        <v>0</v>
      </c>
      <c r="W11">
        <v>1985</v>
      </c>
      <c r="X11" s="1" t="e">
        <f t="shared" si="9"/>
        <v>#DIV/0!</v>
      </c>
      <c r="Y11" s="1" t="e">
        <f t="shared" si="2"/>
        <v>#DIV/0!</v>
      </c>
      <c r="Z11" s="1" t="e">
        <f t="shared" si="2"/>
        <v>#DIV/0!</v>
      </c>
      <c r="AA11" s="1">
        <f t="shared" si="10"/>
        <v>0</v>
      </c>
      <c r="AC11">
        <v>1985</v>
      </c>
      <c r="AD11" s="1" t="e">
        <f t="shared" si="11"/>
        <v>#DIV/0!</v>
      </c>
      <c r="AE11" s="1" t="e">
        <f t="shared" si="3"/>
        <v>#DIV/0!</v>
      </c>
      <c r="AF11" s="1" t="e">
        <f t="shared" si="3"/>
        <v>#DIV/0!</v>
      </c>
      <c r="AG11" s="1">
        <f t="shared" si="12"/>
        <v>0</v>
      </c>
      <c r="AI11">
        <v>1985</v>
      </c>
      <c r="AJ11" s="1" t="e">
        <f t="shared" si="13"/>
        <v>#DIV/0!</v>
      </c>
      <c r="AK11" s="1" t="e">
        <f t="shared" si="4"/>
        <v>#DIV/0!</v>
      </c>
      <c r="AL11" s="1" t="e">
        <f t="shared" si="4"/>
        <v>#DIV/0!</v>
      </c>
      <c r="AM11" s="1">
        <f t="shared" si="14"/>
        <v>0</v>
      </c>
    </row>
    <row r="12" spans="11:39" x14ac:dyDescent="0.3">
      <c r="K12">
        <v>1986</v>
      </c>
      <c r="L12" s="1" t="e">
        <f t="shared" si="5"/>
        <v>#DIV/0!</v>
      </c>
      <c r="M12" s="1" t="e">
        <f t="shared" si="0"/>
        <v>#DIV/0!</v>
      </c>
      <c r="N12" s="1" t="e">
        <f t="shared" si="0"/>
        <v>#DIV/0!</v>
      </c>
      <c r="O12" s="1">
        <f t="shared" si="6"/>
        <v>0</v>
      </c>
      <c r="Q12">
        <v>1986</v>
      </c>
      <c r="R12" s="1" t="e">
        <f t="shared" si="7"/>
        <v>#DIV/0!</v>
      </c>
      <c r="S12" s="1" t="e">
        <f t="shared" si="1"/>
        <v>#DIV/0!</v>
      </c>
      <c r="T12" s="1" t="e">
        <f t="shared" si="1"/>
        <v>#DIV/0!</v>
      </c>
      <c r="U12" s="1">
        <f t="shared" si="8"/>
        <v>0</v>
      </c>
      <c r="W12">
        <v>1986</v>
      </c>
      <c r="X12" s="1" t="e">
        <f t="shared" si="9"/>
        <v>#DIV/0!</v>
      </c>
      <c r="Y12" s="1" t="e">
        <f t="shared" si="2"/>
        <v>#DIV/0!</v>
      </c>
      <c r="Z12" s="1" t="e">
        <f t="shared" si="2"/>
        <v>#DIV/0!</v>
      </c>
      <c r="AA12" s="1">
        <f t="shared" si="10"/>
        <v>0</v>
      </c>
      <c r="AC12">
        <v>1986</v>
      </c>
      <c r="AD12" s="1" t="e">
        <f t="shared" si="11"/>
        <v>#DIV/0!</v>
      </c>
      <c r="AE12" s="1" t="e">
        <f t="shared" si="3"/>
        <v>#DIV/0!</v>
      </c>
      <c r="AF12" s="1" t="e">
        <f t="shared" si="3"/>
        <v>#DIV/0!</v>
      </c>
      <c r="AG12" s="1">
        <f t="shared" si="12"/>
        <v>0</v>
      </c>
      <c r="AI12">
        <v>1986</v>
      </c>
      <c r="AJ12" s="1" t="e">
        <f t="shared" si="13"/>
        <v>#DIV/0!</v>
      </c>
      <c r="AK12" s="1" t="e">
        <f t="shared" si="4"/>
        <v>#DIV/0!</v>
      </c>
      <c r="AL12" s="1" t="e">
        <f t="shared" si="4"/>
        <v>#DIV/0!</v>
      </c>
      <c r="AM12" s="1">
        <f t="shared" si="14"/>
        <v>0</v>
      </c>
    </row>
    <row r="13" spans="11:39" x14ac:dyDescent="0.3">
      <c r="K13">
        <v>1987</v>
      </c>
      <c r="L13" s="1" t="e">
        <f t="shared" si="5"/>
        <v>#DIV/0!</v>
      </c>
      <c r="M13" s="1" t="e">
        <f t="shared" si="0"/>
        <v>#DIV/0!</v>
      </c>
      <c r="N13" s="1" t="e">
        <f t="shared" si="0"/>
        <v>#DIV/0!</v>
      </c>
      <c r="O13" s="1">
        <f t="shared" si="6"/>
        <v>0</v>
      </c>
      <c r="Q13">
        <v>1987</v>
      </c>
      <c r="R13" s="1" t="e">
        <f t="shared" si="7"/>
        <v>#DIV/0!</v>
      </c>
      <c r="S13" s="1" t="e">
        <f t="shared" si="1"/>
        <v>#DIV/0!</v>
      </c>
      <c r="T13" s="1" t="e">
        <f t="shared" si="1"/>
        <v>#DIV/0!</v>
      </c>
      <c r="U13" s="1">
        <f t="shared" si="8"/>
        <v>0</v>
      </c>
      <c r="W13">
        <v>1987</v>
      </c>
      <c r="X13" s="1" t="e">
        <f t="shared" si="9"/>
        <v>#DIV/0!</v>
      </c>
      <c r="Y13" s="1" t="e">
        <f t="shared" si="2"/>
        <v>#DIV/0!</v>
      </c>
      <c r="Z13" s="1" t="e">
        <f t="shared" si="2"/>
        <v>#DIV/0!</v>
      </c>
      <c r="AA13" s="1">
        <f t="shared" si="10"/>
        <v>0</v>
      </c>
      <c r="AC13">
        <v>1987</v>
      </c>
      <c r="AD13" s="1" t="e">
        <f t="shared" si="11"/>
        <v>#DIV/0!</v>
      </c>
      <c r="AE13" s="1" t="e">
        <f t="shared" si="3"/>
        <v>#DIV/0!</v>
      </c>
      <c r="AF13" s="1" t="e">
        <f t="shared" si="3"/>
        <v>#DIV/0!</v>
      </c>
      <c r="AG13" s="1">
        <f t="shared" si="12"/>
        <v>0</v>
      </c>
      <c r="AI13">
        <v>1987</v>
      </c>
      <c r="AJ13" s="1" t="e">
        <f t="shared" si="13"/>
        <v>#DIV/0!</v>
      </c>
      <c r="AK13" s="1" t="e">
        <f t="shared" si="4"/>
        <v>#DIV/0!</v>
      </c>
      <c r="AL13" s="1" t="e">
        <f t="shared" si="4"/>
        <v>#DIV/0!</v>
      </c>
      <c r="AM13" s="1">
        <f t="shared" si="14"/>
        <v>0</v>
      </c>
    </row>
    <row r="14" spans="11:39" x14ac:dyDescent="0.3">
      <c r="K14">
        <v>1988</v>
      </c>
      <c r="L14" s="1" t="e">
        <f t="shared" si="5"/>
        <v>#DIV/0!</v>
      </c>
      <c r="M14" s="1" t="e">
        <f t="shared" si="0"/>
        <v>#DIV/0!</v>
      </c>
      <c r="N14" s="1" t="e">
        <f t="shared" si="0"/>
        <v>#DIV/0!</v>
      </c>
      <c r="O14" s="1">
        <f t="shared" si="6"/>
        <v>0</v>
      </c>
      <c r="Q14">
        <v>1988</v>
      </c>
      <c r="R14" s="1" t="e">
        <f t="shared" si="7"/>
        <v>#DIV/0!</v>
      </c>
      <c r="S14" s="1" t="e">
        <f t="shared" si="1"/>
        <v>#DIV/0!</v>
      </c>
      <c r="T14" s="1" t="e">
        <f t="shared" si="1"/>
        <v>#DIV/0!</v>
      </c>
      <c r="U14" s="1">
        <f t="shared" si="8"/>
        <v>0</v>
      </c>
      <c r="W14">
        <v>1988</v>
      </c>
      <c r="X14" s="1" t="e">
        <f t="shared" si="9"/>
        <v>#DIV/0!</v>
      </c>
      <c r="Y14" s="1" t="e">
        <f t="shared" si="2"/>
        <v>#DIV/0!</v>
      </c>
      <c r="Z14" s="1" t="e">
        <f t="shared" si="2"/>
        <v>#DIV/0!</v>
      </c>
      <c r="AA14" s="1">
        <f t="shared" si="10"/>
        <v>0</v>
      </c>
      <c r="AC14">
        <v>1988</v>
      </c>
      <c r="AD14" s="1" t="e">
        <f t="shared" si="11"/>
        <v>#DIV/0!</v>
      </c>
      <c r="AE14" s="1" t="e">
        <f t="shared" si="3"/>
        <v>#DIV/0!</v>
      </c>
      <c r="AF14" s="1" t="e">
        <f t="shared" si="3"/>
        <v>#DIV/0!</v>
      </c>
      <c r="AG14" s="1">
        <f t="shared" si="12"/>
        <v>0</v>
      </c>
      <c r="AI14">
        <v>1988</v>
      </c>
      <c r="AJ14" s="1" t="e">
        <f t="shared" si="13"/>
        <v>#DIV/0!</v>
      </c>
      <c r="AK14" s="1" t="e">
        <f t="shared" si="4"/>
        <v>#DIV/0!</v>
      </c>
      <c r="AL14" s="1" t="e">
        <f t="shared" si="4"/>
        <v>#DIV/0!</v>
      </c>
      <c r="AM14" s="1">
        <f t="shared" si="14"/>
        <v>0</v>
      </c>
    </row>
    <row r="15" spans="11:39" x14ac:dyDescent="0.3">
      <c r="K15">
        <v>1989</v>
      </c>
      <c r="L15" s="1" t="e">
        <f t="shared" si="5"/>
        <v>#DIV/0!</v>
      </c>
      <c r="M15" s="1" t="e">
        <f t="shared" si="0"/>
        <v>#DIV/0!</v>
      </c>
      <c r="N15" s="1" t="e">
        <f t="shared" si="0"/>
        <v>#DIV/0!</v>
      </c>
      <c r="O15" s="1">
        <f t="shared" si="6"/>
        <v>0</v>
      </c>
      <c r="Q15">
        <v>1989</v>
      </c>
      <c r="R15" s="1" t="e">
        <f t="shared" si="7"/>
        <v>#DIV/0!</v>
      </c>
      <c r="S15" s="1" t="e">
        <f t="shared" si="1"/>
        <v>#DIV/0!</v>
      </c>
      <c r="T15" s="1" t="e">
        <f t="shared" si="1"/>
        <v>#DIV/0!</v>
      </c>
      <c r="U15" s="1">
        <f t="shared" si="8"/>
        <v>0</v>
      </c>
      <c r="W15">
        <v>1989</v>
      </c>
      <c r="X15" s="1" t="e">
        <f t="shared" si="9"/>
        <v>#DIV/0!</v>
      </c>
      <c r="Y15" s="1" t="e">
        <f t="shared" si="2"/>
        <v>#DIV/0!</v>
      </c>
      <c r="Z15" s="1" t="e">
        <f t="shared" si="2"/>
        <v>#DIV/0!</v>
      </c>
      <c r="AA15" s="1">
        <f t="shared" si="10"/>
        <v>0</v>
      </c>
      <c r="AC15">
        <v>1989</v>
      </c>
      <c r="AD15" s="1" t="e">
        <f t="shared" si="11"/>
        <v>#DIV/0!</v>
      </c>
      <c r="AE15" s="1" t="e">
        <f t="shared" si="3"/>
        <v>#DIV/0!</v>
      </c>
      <c r="AF15" s="1" t="e">
        <f t="shared" si="3"/>
        <v>#DIV/0!</v>
      </c>
      <c r="AG15" s="1">
        <f t="shared" si="12"/>
        <v>0</v>
      </c>
      <c r="AI15">
        <v>1989</v>
      </c>
      <c r="AJ15" s="1" t="e">
        <f t="shared" si="13"/>
        <v>#DIV/0!</v>
      </c>
      <c r="AK15" s="1" t="e">
        <f t="shared" si="4"/>
        <v>#DIV/0!</v>
      </c>
      <c r="AL15" s="1" t="e">
        <f t="shared" si="4"/>
        <v>#DIV/0!</v>
      </c>
      <c r="AM15" s="1">
        <f t="shared" si="14"/>
        <v>0</v>
      </c>
    </row>
    <row r="16" spans="11:39" x14ac:dyDescent="0.3">
      <c r="K16">
        <v>1990</v>
      </c>
      <c r="L16" s="1" t="e">
        <f t="shared" si="5"/>
        <v>#DIV/0!</v>
      </c>
      <c r="M16" s="1" t="e">
        <f t="shared" si="0"/>
        <v>#DIV/0!</v>
      </c>
      <c r="N16" s="1" t="e">
        <f t="shared" si="0"/>
        <v>#DIV/0!</v>
      </c>
      <c r="O16" s="1">
        <f t="shared" si="6"/>
        <v>0</v>
      </c>
      <c r="Q16">
        <v>1990</v>
      </c>
      <c r="R16" s="1" t="e">
        <f t="shared" si="7"/>
        <v>#DIV/0!</v>
      </c>
      <c r="S16" s="1" t="e">
        <f t="shared" si="1"/>
        <v>#DIV/0!</v>
      </c>
      <c r="T16" s="1" t="e">
        <f t="shared" si="1"/>
        <v>#DIV/0!</v>
      </c>
      <c r="U16" s="1">
        <f t="shared" si="8"/>
        <v>0</v>
      </c>
      <c r="W16">
        <v>1990</v>
      </c>
      <c r="X16" s="1" t="e">
        <f t="shared" si="9"/>
        <v>#DIV/0!</v>
      </c>
      <c r="Y16" s="1" t="e">
        <f t="shared" si="2"/>
        <v>#DIV/0!</v>
      </c>
      <c r="Z16" s="1" t="e">
        <f t="shared" si="2"/>
        <v>#DIV/0!</v>
      </c>
      <c r="AA16" s="1">
        <f t="shared" si="10"/>
        <v>0</v>
      </c>
      <c r="AC16">
        <v>1990</v>
      </c>
      <c r="AD16" s="1" t="e">
        <f t="shared" si="11"/>
        <v>#DIV/0!</v>
      </c>
      <c r="AE16" s="1" t="e">
        <f t="shared" si="3"/>
        <v>#DIV/0!</v>
      </c>
      <c r="AF16" s="1" t="e">
        <f t="shared" si="3"/>
        <v>#DIV/0!</v>
      </c>
      <c r="AG16" s="1">
        <f t="shared" si="12"/>
        <v>0</v>
      </c>
      <c r="AI16">
        <v>1990</v>
      </c>
      <c r="AJ16" s="1" t="e">
        <f t="shared" si="13"/>
        <v>#DIV/0!</v>
      </c>
      <c r="AK16" s="1" t="e">
        <f t="shared" si="4"/>
        <v>#DIV/0!</v>
      </c>
      <c r="AL16" s="1" t="e">
        <f t="shared" si="4"/>
        <v>#DIV/0!</v>
      </c>
      <c r="AM16" s="1">
        <f t="shared" si="14"/>
        <v>0</v>
      </c>
    </row>
    <row r="17" spans="11:39" x14ac:dyDescent="0.3">
      <c r="K17">
        <v>1991</v>
      </c>
      <c r="L17" s="1" t="e">
        <f t="shared" si="5"/>
        <v>#DIV/0!</v>
      </c>
      <c r="M17" s="1" t="e">
        <f t="shared" si="0"/>
        <v>#DIV/0!</v>
      </c>
      <c r="N17" s="1" t="e">
        <f t="shared" si="0"/>
        <v>#DIV/0!</v>
      </c>
      <c r="O17" s="1">
        <f t="shared" si="6"/>
        <v>0</v>
      </c>
      <c r="Q17">
        <v>1991</v>
      </c>
      <c r="R17" s="1" t="e">
        <f t="shared" si="7"/>
        <v>#DIV/0!</v>
      </c>
      <c r="S17" s="1" t="e">
        <f t="shared" si="1"/>
        <v>#DIV/0!</v>
      </c>
      <c r="T17" s="1" t="e">
        <f t="shared" si="1"/>
        <v>#DIV/0!</v>
      </c>
      <c r="U17" s="1">
        <f t="shared" si="8"/>
        <v>0</v>
      </c>
      <c r="W17">
        <v>1991</v>
      </c>
      <c r="X17" s="1" t="e">
        <f t="shared" si="9"/>
        <v>#DIV/0!</v>
      </c>
      <c r="Y17" s="1" t="e">
        <f t="shared" si="2"/>
        <v>#DIV/0!</v>
      </c>
      <c r="Z17" s="1" t="e">
        <f t="shared" si="2"/>
        <v>#DIV/0!</v>
      </c>
      <c r="AA17" s="1">
        <f t="shared" si="10"/>
        <v>0</v>
      </c>
      <c r="AC17">
        <v>1991</v>
      </c>
      <c r="AD17" s="1" t="e">
        <f t="shared" si="11"/>
        <v>#DIV/0!</v>
      </c>
      <c r="AE17" s="1" t="e">
        <f t="shared" si="3"/>
        <v>#DIV/0!</v>
      </c>
      <c r="AF17" s="1" t="e">
        <f t="shared" si="3"/>
        <v>#DIV/0!</v>
      </c>
      <c r="AG17" s="1">
        <f t="shared" si="12"/>
        <v>0</v>
      </c>
      <c r="AI17">
        <v>1991</v>
      </c>
      <c r="AJ17" s="1" t="e">
        <f t="shared" si="13"/>
        <v>#DIV/0!</v>
      </c>
      <c r="AK17" s="1" t="e">
        <f t="shared" si="4"/>
        <v>#DIV/0!</v>
      </c>
      <c r="AL17" s="1" t="e">
        <f t="shared" si="4"/>
        <v>#DIV/0!</v>
      </c>
      <c r="AM17" s="1">
        <f t="shared" si="14"/>
        <v>0</v>
      </c>
    </row>
    <row r="18" spans="11:39" x14ac:dyDescent="0.3">
      <c r="K18">
        <v>1992</v>
      </c>
      <c r="L18" s="1" t="e">
        <f t="shared" si="5"/>
        <v>#DIV/0!</v>
      </c>
      <c r="M18" s="1" t="e">
        <f t="shared" si="5"/>
        <v>#DIV/0!</v>
      </c>
      <c r="N18" s="1" t="e">
        <f t="shared" si="5"/>
        <v>#DIV/0!</v>
      </c>
      <c r="O18" s="1">
        <f t="shared" si="6"/>
        <v>0</v>
      </c>
      <c r="Q18">
        <v>1992</v>
      </c>
      <c r="R18" s="1" t="e">
        <f t="shared" si="7"/>
        <v>#DIV/0!</v>
      </c>
      <c r="S18" s="1" t="e">
        <f t="shared" si="7"/>
        <v>#DIV/0!</v>
      </c>
      <c r="T18" s="1" t="e">
        <f t="shared" si="7"/>
        <v>#DIV/0!</v>
      </c>
      <c r="U18" s="1">
        <f t="shared" si="8"/>
        <v>0</v>
      </c>
      <c r="W18">
        <v>1992</v>
      </c>
      <c r="X18" s="1" t="e">
        <f t="shared" si="9"/>
        <v>#DIV/0!</v>
      </c>
      <c r="Y18" s="1" t="e">
        <f t="shared" si="9"/>
        <v>#DIV/0!</v>
      </c>
      <c r="Z18" s="1" t="e">
        <f t="shared" si="9"/>
        <v>#DIV/0!</v>
      </c>
      <c r="AA18" s="1">
        <f t="shared" si="10"/>
        <v>0</v>
      </c>
      <c r="AC18">
        <v>1992</v>
      </c>
      <c r="AD18" s="1" t="e">
        <f t="shared" si="11"/>
        <v>#DIV/0!</v>
      </c>
      <c r="AE18" s="1" t="e">
        <f t="shared" si="11"/>
        <v>#DIV/0!</v>
      </c>
      <c r="AF18" s="1" t="e">
        <f t="shared" si="11"/>
        <v>#DIV/0!</v>
      </c>
      <c r="AG18" s="1">
        <f t="shared" si="12"/>
        <v>0</v>
      </c>
      <c r="AI18">
        <v>1992</v>
      </c>
      <c r="AJ18" s="1" t="e">
        <f t="shared" si="13"/>
        <v>#DIV/0!</v>
      </c>
      <c r="AK18" s="1" t="e">
        <f t="shared" si="13"/>
        <v>#DIV/0!</v>
      </c>
      <c r="AL18" s="1" t="e">
        <f t="shared" si="13"/>
        <v>#DIV/0!</v>
      </c>
      <c r="AM18" s="1">
        <f t="shared" si="14"/>
        <v>0</v>
      </c>
    </row>
    <row r="19" spans="11:39" x14ac:dyDescent="0.3">
      <c r="K19">
        <v>1993</v>
      </c>
      <c r="L19" s="1" t="e">
        <f t="shared" si="5"/>
        <v>#DIV/0!</v>
      </c>
      <c r="M19" s="1" t="e">
        <f t="shared" si="5"/>
        <v>#DIV/0!</v>
      </c>
      <c r="N19" s="1" t="e">
        <f t="shared" si="5"/>
        <v>#DIV/0!</v>
      </c>
      <c r="O19" s="1">
        <f t="shared" si="6"/>
        <v>0</v>
      </c>
      <c r="Q19">
        <v>1993</v>
      </c>
      <c r="R19" s="1" t="e">
        <f t="shared" si="7"/>
        <v>#DIV/0!</v>
      </c>
      <c r="S19" s="1" t="e">
        <f t="shared" si="7"/>
        <v>#DIV/0!</v>
      </c>
      <c r="T19" s="1" t="e">
        <f t="shared" si="7"/>
        <v>#DIV/0!</v>
      </c>
      <c r="U19" s="1">
        <f t="shared" si="8"/>
        <v>0</v>
      </c>
      <c r="W19">
        <v>1993</v>
      </c>
      <c r="X19" s="1" t="e">
        <f t="shared" si="9"/>
        <v>#DIV/0!</v>
      </c>
      <c r="Y19" s="1" t="e">
        <f t="shared" si="9"/>
        <v>#DIV/0!</v>
      </c>
      <c r="Z19" s="1" t="e">
        <f t="shared" si="9"/>
        <v>#DIV/0!</v>
      </c>
      <c r="AA19" s="1">
        <f t="shared" si="10"/>
        <v>0</v>
      </c>
      <c r="AC19">
        <v>1993</v>
      </c>
      <c r="AD19" s="1" t="e">
        <f t="shared" si="11"/>
        <v>#DIV/0!</v>
      </c>
      <c r="AE19" s="1" t="e">
        <f t="shared" si="11"/>
        <v>#DIV/0!</v>
      </c>
      <c r="AF19" s="1" t="e">
        <f t="shared" si="11"/>
        <v>#DIV/0!</v>
      </c>
      <c r="AG19" s="1">
        <f t="shared" si="12"/>
        <v>0</v>
      </c>
      <c r="AI19">
        <v>1993</v>
      </c>
      <c r="AJ19" s="1" t="e">
        <f t="shared" si="13"/>
        <v>#DIV/0!</v>
      </c>
      <c r="AK19" s="1" t="e">
        <f t="shared" si="13"/>
        <v>#DIV/0!</v>
      </c>
      <c r="AL19" s="1" t="e">
        <f t="shared" si="13"/>
        <v>#DIV/0!</v>
      </c>
      <c r="AM19" s="1">
        <f t="shared" si="14"/>
        <v>0</v>
      </c>
    </row>
    <row r="20" spans="11:39" x14ac:dyDescent="0.3">
      <c r="K20">
        <v>1994</v>
      </c>
      <c r="L20" s="1" t="e">
        <f t="shared" si="5"/>
        <v>#DIV/0!</v>
      </c>
      <c r="M20" s="1" t="e">
        <f t="shared" si="5"/>
        <v>#DIV/0!</v>
      </c>
      <c r="N20" s="1" t="e">
        <f t="shared" si="5"/>
        <v>#DIV/0!</v>
      </c>
      <c r="O20" s="1">
        <f t="shared" si="6"/>
        <v>0</v>
      </c>
      <c r="Q20">
        <v>1994</v>
      </c>
      <c r="R20" s="1" t="e">
        <f t="shared" si="7"/>
        <v>#DIV/0!</v>
      </c>
      <c r="S20" s="1" t="e">
        <f t="shared" si="7"/>
        <v>#DIV/0!</v>
      </c>
      <c r="T20" s="1" t="e">
        <f t="shared" si="7"/>
        <v>#DIV/0!</v>
      </c>
      <c r="U20" s="1">
        <f t="shared" si="8"/>
        <v>0</v>
      </c>
      <c r="W20">
        <v>1994</v>
      </c>
      <c r="X20" s="1" t="e">
        <f t="shared" si="9"/>
        <v>#DIV/0!</v>
      </c>
      <c r="Y20" s="1" t="e">
        <f t="shared" si="9"/>
        <v>#DIV/0!</v>
      </c>
      <c r="Z20" s="1" t="e">
        <f t="shared" si="9"/>
        <v>#DIV/0!</v>
      </c>
      <c r="AA20" s="1">
        <f t="shared" si="10"/>
        <v>0</v>
      </c>
      <c r="AC20">
        <v>1994</v>
      </c>
      <c r="AD20" s="1" t="e">
        <f t="shared" si="11"/>
        <v>#DIV/0!</v>
      </c>
      <c r="AE20" s="1" t="e">
        <f t="shared" si="11"/>
        <v>#DIV/0!</v>
      </c>
      <c r="AF20" s="1" t="e">
        <f t="shared" si="11"/>
        <v>#DIV/0!</v>
      </c>
      <c r="AG20" s="1">
        <f t="shared" si="12"/>
        <v>0</v>
      </c>
      <c r="AI20">
        <v>1994</v>
      </c>
      <c r="AJ20" s="1" t="e">
        <f t="shared" si="13"/>
        <v>#DIV/0!</v>
      </c>
      <c r="AK20" s="1" t="e">
        <f t="shared" si="13"/>
        <v>#DIV/0!</v>
      </c>
      <c r="AL20" s="1" t="e">
        <f t="shared" si="13"/>
        <v>#DIV/0!</v>
      </c>
      <c r="AM20" s="1">
        <f t="shared" si="14"/>
        <v>0</v>
      </c>
    </row>
    <row r="21" spans="11:39" x14ac:dyDescent="0.3">
      <c r="K21">
        <v>1995</v>
      </c>
      <c r="L21" s="1" t="e">
        <f t="shared" si="5"/>
        <v>#DIV/0!</v>
      </c>
      <c r="M21" s="1" t="e">
        <f t="shared" si="5"/>
        <v>#DIV/0!</v>
      </c>
      <c r="N21" s="1" t="e">
        <f t="shared" si="5"/>
        <v>#DIV/0!</v>
      </c>
      <c r="O21" s="1">
        <f t="shared" si="6"/>
        <v>0</v>
      </c>
      <c r="Q21">
        <v>1995</v>
      </c>
      <c r="R21" s="1" t="e">
        <f t="shared" si="7"/>
        <v>#DIV/0!</v>
      </c>
      <c r="S21" s="1" t="e">
        <f t="shared" si="7"/>
        <v>#DIV/0!</v>
      </c>
      <c r="T21" s="1" t="e">
        <f t="shared" si="7"/>
        <v>#DIV/0!</v>
      </c>
      <c r="U21" s="1">
        <f t="shared" si="8"/>
        <v>0</v>
      </c>
      <c r="W21">
        <v>1995</v>
      </c>
      <c r="X21" s="1" t="e">
        <f t="shared" si="9"/>
        <v>#DIV/0!</v>
      </c>
      <c r="Y21" s="1" t="e">
        <f t="shared" si="9"/>
        <v>#DIV/0!</v>
      </c>
      <c r="Z21" s="1" t="e">
        <f t="shared" si="9"/>
        <v>#DIV/0!</v>
      </c>
      <c r="AA21" s="1">
        <f t="shared" si="10"/>
        <v>0</v>
      </c>
      <c r="AC21">
        <v>1995</v>
      </c>
      <c r="AD21" s="1" t="e">
        <f t="shared" si="11"/>
        <v>#DIV/0!</v>
      </c>
      <c r="AE21" s="1" t="e">
        <f t="shared" si="11"/>
        <v>#DIV/0!</v>
      </c>
      <c r="AF21" s="1" t="e">
        <f t="shared" si="11"/>
        <v>#DIV/0!</v>
      </c>
      <c r="AG21" s="1">
        <f t="shared" si="12"/>
        <v>0</v>
      </c>
      <c r="AI21">
        <v>1995</v>
      </c>
      <c r="AJ21" s="1" t="e">
        <f t="shared" si="13"/>
        <v>#DIV/0!</v>
      </c>
      <c r="AK21" s="1" t="e">
        <f t="shared" si="13"/>
        <v>#DIV/0!</v>
      </c>
      <c r="AL21" s="1" t="e">
        <f t="shared" si="13"/>
        <v>#DIV/0!</v>
      </c>
      <c r="AM21" s="1">
        <f t="shared" si="14"/>
        <v>0</v>
      </c>
    </row>
    <row r="22" spans="11:39" x14ac:dyDescent="0.3">
      <c r="K22">
        <v>1996</v>
      </c>
      <c r="L22" s="1" t="e">
        <f t="shared" si="5"/>
        <v>#DIV/0!</v>
      </c>
      <c r="M22" s="1" t="e">
        <f t="shared" si="5"/>
        <v>#DIV/0!</v>
      </c>
      <c r="N22" s="1" t="e">
        <f t="shared" si="5"/>
        <v>#DIV/0!</v>
      </c>
      <c r="O22" s="1">
        <f t="shared" si="6"/>
        <v>0</v>
      </c>
      <c r="Q22">
        <v>1996</v>
      </c>
      <c r="R22" s="1" t="e">
        <f t="shared" si="7"/>
        <v>#DIV/0!</v>
      </c>
      <c r="S22" s="1" t="e">
        <f t="shared" si="7"/>
        <v>#DIV/0!</v>
      </c>
      <c r="T22" s="1" t="e">
        <f t="shared" si="7"/>
        <v>#DIV/0!</v>
      </c>
      <c r="U22" s="1">
        <f t="shared" si="8"/>
        <v>0</v>
      </c>
      <c r="W22">
        <v>1996</v>
      </c>
      <c r="X22" s="1" t="e">
        <f t="shared" si="9"/>
        <v>#DIV/0!</v>
      </c>
      <c r="Y22" s="1" t="e">
        <f t="shared" si="9"/>
        <v>#DIV/0!</v>
      </c>
      <c r="Z22" s="1" t="e">
        <f t="shared" si="9"/>
        <v>#DIV/0!</v>
      </c>
      <c r="AA22" s="1">
        <f t="shared" si="10"/>
        <v>0</v>
      </c>
      <c r="AC22">
        <v>1996</v>
      </c>
      <c r="AD22" s="1" t="e">
        <f t="shared" si="11"/>
        <v>#DIV/0!</v>
      </c>
      <c r="AE22" s="1" t="e">
        <f t="shared" si="11"/>
        <v>#DIV/0!</v>
      </c>
      <c r="AF22" s="1" t="e">
        <f t="shared" si="11"/>
        <v>#DIV/0!</v>
      </c>
      <c r="AG22" s="1">
        <f t="shared" si="12"/>
        <v>0</v>
      </c>
      <c r="AI22">
        <v>1996</v>
      </c>
      <c r="AJ22" s="1" t="e">
        <f t="shared" si="13"/>
        <v>#DIV/0!</v>
      </c>
      <c r="AK22" s="1" t="e">
        <f t="shared" si="13"/>
        <v>#DIV/0!</v>
      </c>
      <c r="AL22" s="1" t="e">
        <f t="shared" si="13"/>
        <v>#DIV/0!</v>
      </c>
      <c r="AM22" s="1">
        <f t="shared" si="14"/>
        <v>0</v>
      </c>
    </row>
    <row r="23" spans="11:39" x14ac:dyDescent="0.3">
      <c r="K23">
        <v>1997</v>
      </c>
      <c r="L23" s="1" t="e">
        <f t="shared" si="5"/>
        <v>#DIV/0!</v>
      </c>
      <c r="M23" s="1" t="e">
        <f t="shared" si="5"/>
        <v>#DIV/0!</v>
      </c>
      <c r="N23" s="1" t="e">
        <f t="shared" si="5"/>
        <v>#DIV/0!</v>
      </c>
      <c r="O23" s="1">
        <f t="shared" si="6"/>
        <v>0</v>
      </c>
      <c r="Q23">
        <v>1997</v>
      </c>
      <c r="R23" s="1" t="e">
        <f t="shared" si="7"/>
        <v>#DIV/0!</v>
      </c>
      <c r="S23" s="1" t="e">
        <f t="shared" si="7"/>
        <v>#DIV/0!</v>
      </c>
      <c r="T23" s="1" t="e">
        <f t="shared" si="7"/>
        <v>#DIV/0!</v>
      </c>
      <c r="U23" s="1">
        <f t="shared" si="8"/>
        <v>0</v>
      </c>
      <c r="W23">
        <v>1997</v>
      </c>
      <c r="X23" s="1" t="e">
        <f t="shared" si="9"/>
        <v>#DIV/0!</v>
      </c>
      <c r="Y23" s="1" t="e">
        <f t="shared" si="9"/>
        <v>#DIV/0!</v>
      </c>
      <c r="Z23" s="1" t="e">
        <f t="shared" si="9"/>
        <v>#DIV/0!</v>
      </c>
      <c r="AA23" s="1">
        <f t="shared" si="10"/>
        <v>0</v>
      </c>
      <c r="AC23">
        <v>1997</v>
      </c>
      <c r="AD23" s="1" t="e">
        <f t="shared" si="11"/>
        <v>#DIV/0!</v>
      </c>
      <c r="AE23" s="1" t="e">
        <f t="shared" si="11"/>
        <v>#DIV/0!</v>
      </c>
      <c r="AF23" s="1" t="e">
        <f t="shared" si="11"/>
        <v>#DIV/0!</v>
      </c>
      <c r="AG23" s="1">
        <f t="shared" si="12"/>
        <v>0</v>
      </c>
      <c r="AI23">
        <v>1997</v>
      </c>
      <c r="AJ23" s="1" t="e">
        <f t="shared" si="13"/>
        <v>#DIV/0!</v>
      </c>
      <c r="AK23" s="1" t="e">
        <f t="shared" si="13"/>
        <v>#DIV/0!</v>
      </c>
      <c r="AL23" s="1" t="e">
        <f t="shared" si="13"/>
        <v>#DIV/0!</v>
      </c>
      <c r="AM23" s="1">
        <f t="shared" si="14"/>
        <v>0</v>
      </c>
    </row>
    <row r="24" spans="11:39" x14ac:dyDescent="0.3">
      <c r="K24">
        <v>1998</v>
      </c>
      <c r="L24" s="1" t="e">
        <f t="shared" si="5"/>
        <v>#DIV/0!</v>
      </c>
      <c r="M24" s="1" t="e">
        <f t="shared" si="5"/>
        <v>#DIV/0!</v>
      </c>
      <c r="N24" s="1" t="e">
        <f t="shared" si="5"/>
        <v>#DIV/0!</v>
      </c>
      <c r="O24" s="1">
        <f t="shared" si="6"/>
        <v>0</v>
      </c>
      <c r="Q24">
        <v>1998</v>
      </c>
      <c r="R24" s="1" t="e">
        <f t="shared" si="7"/>
        <v>#DIV/0!</v>
      </c>
      <c r="S24" s="1" t="e">
        <f t="shared" si="7"/>
        <v>#DIV/0!</v>
      </c>
      <c r="T24" s="1" t="e">
        <f t="shared" si="7"/>
        <v>#DIV/0!</v>
      </c>
      <c r="U24" s="1">
        <f t="shared" si="8"/>
        <v>0</v>
      </c>
      <c r="W24">
        <v>1998</v>
      </c>
      <c r="X24" s="1" t="e">
        <f t="shared" si="9"/>
        <v>#DIV/0!</v>
      </c>
      <c r="Y24" s="1" t="e">
        <f t="shared" si="9"/>
        <v>#DIV/0!</v>
      </c>
      <c r="Z24" s="1" t="e">
        <f t="shared" si="9"/>
        <v>#DIV/0!</v>
      </c>
      <c r="AA24" s="1">
        <f t="shared" si="10"/>
        <v>0</v>
      </c>
      <c r="AC24">
        <v>1998</v>
      </c>
      <c r="AD24" s="1" t="e">
        <f t="shared" si="11"/>
        <v>#DIV/0!</v>
      </c>
      <c r="AE24" s="1" t="e">
        <f t="shared" si="11"/>
        <v>#DIV/0!</v>
      </c>
      <c r="AF24" s="1" t="e">
        <f t="shared" si="11"/>
        <v>#DIV/0!</v>
      </c>
      <c r="AG24" s="1">
        <f t="shared" si="12"/>
        <v>0</v>
      </c>
      <c r="AI24">
        <v>1998</v>
      </c>
      <c r="AJ24" s="1" t="e">
        <f t="shared" si="13"/>
        <v>#DIV/0!</v>
      </c>
      <c r="AK24" s="1" t="e">
        <f t="shared" si="13"/>
        <v>#DIV/0!</v>
      </c>
      <c r="AL24" s="1" t="e">
        <f t="shared" si="13"/>
        <v>#DIV/0!</v>
      </c>
      <c r="AM24" s="1">
        <f t="shared" si="14"/>
        <v>0</v>
      </c>
    </row>
    <row r="25" spans="11:39" x14ac:dyDescent="0.3">
      <c r="K25">
        <v>1999</v>
      </c>
      <c r="L25" s="1" t="e">
        <f t="shared" si="5"/>
        <v>#DIV/0!</v>
      </c>
      <c r="M25" s="1" t="e">
        <f t="shared" si="5"/>
        <v>#DIV/0!</v>
      </c>
      <c r="N25" s="1" t="e">
        <f t="shared" si="5"/>
        <v>#DIV/0!</v>
      </c>
      <c r="O25" s="1">
        <f t="shared" si="6"/>
        <v>0</v>
      </c>
      <c r="Q25">
        <v>1999</v>
      </c>
      <c r="R25" s="1" t="e">
        <f t="shared" si="7"/>
        <v>#DIV/0!</v>
      </c>
      <c r="S25" s="1" t="e">
        <f t="shared" si="7"/>
        <v>#DIV/0!</v>
      </c>
      <c r="T25" s="1" t="e">
        <f t="shared" si="7"/>
        <v>#DIV/0!</v>
      </c>
      <c r="U25" s="1">
        <f t="shared" si="8"/>
        <v>0</v>
      </c>
      <c r="W25">
        <v>1999</v>
      </c>
      <c r="X25" s="1" t="e">
        <f t="shared" si="9"/>
        <v>#DIV/0!</v>
      </c>
      <c r="Y25" s="1" t="e">
        <f t="shared" si="9"/>
        <v>#DIV/0!</v>
      </c>
      <c r="Z25" s="1" t="e">
        <f t="shared" si="9"/>
        <v>#DIV/0!</v>
      </c>
      <c r="AA25" s="1">
        <f t="shared" si="10"/>
        <v>0</v>
      </c>
      <c r="AC25">
        <v>1999</v>
      </c>
      <c r="AD25" s="1" t="e">
        <f t="shared" si="11"/>
        <v>#DIV/0!</v>
      </c>
      <c r="AE25" s="1" t="e">
        <f t="shared" si="11"/>
        <v>#DIV/0!</v>
      </c>
      <c r="AF25" s="1" t="e">
        <f t="shared" si="11"/>
        <v>#DIV/0!</v>
      </c>
      <c r="AG25" s="1">
        <f t="shared" si="12"/>
        <v>0</v>
      </c>
      <c r="AI25">
        <v>1999</v>
      </c>
      <c r="AJ25" s="1" t="e">
        <f t="shared" si="13"/>
        <v>#DIV/0!</v>
      </c>
      <c r="AK25" s="1" t="e">
        <f t="shared" si="13"/>
        <v>#DIV/0!</v>
      </c>
      <c r="AL25" s="1" t="e">
        <f t="shared" si="13"/>
        <v>#DIV/0!</v>
      </c>
      <c r="AM25" s="1">
        <f t="shared" si="14"/>
        <v>0</v>
      </c>
    </row>
    <row r="26" spans="11:39" x14ac:dyDescent="0.3">
      <c r="K26">
        <v>2000</v>
      </c>
      <c r="L26" s="1" t="e">
        <f t="shared" si="5"/>
        <v>#DIV/0!</v>
      </c>
      <c r="M26" s="1" t="e">
        <f t="shared" si="5"/>
        <v>#DIV/0!</v>
      </c>
      <c r="N26" s="1" t="e">
        <f t="shared" si="5"/>
        <v>#DIV/0!</v>
      </c>
      <c r="O26" s="1">
        <f t="shared" si="6"/>
        <v>0</v>
      </c>
      <c r="Q26">
        <v>2000</v>
      </c>
      <c r="R26" s="1" t="e">
        <f t="shared" si="7"/>
        <v>#DIV/0!</v>
      </c>
      <c r="S26" s="1" t="e">
        <f t="shared" si="7"/>
        <v>#DIV/0!</v>
      </c>
      <c r="T26" s="1" t="e">
        <f t="shared" si="7"/>
        <v>#DIV/0!</v>
      </c>
      <c r="U26" s="1">
        <f t="shared" si="8"/>
        <v>0</v>
      </c>
      <c r="W26">
        <v>2000</v>
      </c>
      <c r="X26" s="1" t="e">
        <f t="shared" si="9"/>
        <v>#DIV/0!</v>
      </c>
      <c r="Y26" s="1" t="e">
        <f t="shared" si="9"/>
        <v>#DIV/0!</v>
      </c>
      <c r="Z26" s="1" t="e">
        <f t="shared" si="9"/>
        <v>#DIV/0!</v>
      </c>
      <c r="AA26" s="1">
        <f t="shared" si="10"/>
        <v>0</v>
      </c>
      <c r="AC26">
        <v>2000</v>
      </c>
      <c r="AD26" s="1" t="e">
        <f t="shared" si="11"/>
        <v>#DIV/0!</v>
      </c>
      <c r="AE26" s="1" t="e">
        <f t="shared" si="11"/>
        <v>#DIV/0!</v>
      </c>
      <c r="AF26" s="1" t="e">
        <f t="shared" si="11"/>
        <v>#DIV/0!</v>
      </c>
      <c r="AG26" s="1">
        <f t="shared" si="12"/>
        <v>0</v>
      </c>
      <c r="AI26">
        <v>2000</v>
      </c>
      <c r="AJ26" s="1" t="e">
        <f t="shared" si="13"/>
        <v>#DIV/0!</v>
      </c>
      <c r="AK26" s="1" t="e">
        <f t="shared" si="13"/>
        <v>#DIV/0!</v>
      </c>
      <c r="AL26" s="1" t="e">
        <f t="shared" si="13"/>
        <v>#DIV/0!</v>
      </c>
      <c r="AM26" s="1">
        <f t="shared" si="14"/>
        <v>0</v>
      </c>
    </row>
    <row r="27" spans="11:39" x14ac:dyDescent="0.3">
      <c r="K27">
        <v>2001</v>
      </c>
      <c r="L27" s="1" t="e">
        <f t="shared" si="5"/>
        <v>#DIV/0!</v>
      </c>
      <c r="M27" s="1" t="e">
        <f t="shared" si="5"/>
        <v>#DIV/0!</v>
      </c>
      <c r="N27" s="1" t="e">
        <f t="shared" si="5"/>
        <v>#DIV/0!</v>
      </c>
      <c r="O27" s="1">
        <f t="shared" si="6"/>
        <v>0</v>
      </c>
      <c r="Q27">
        <v>2001</v>
      </c>
      <c r="R27" s="1" t="e">
        <f t="shared" si="7"/>
        <v>#DIV/0!</v>
      </c>
      <c r="S27" s="1" t="e">
        <f t="shared" si="7"/>
        <v>#DIV/0!</v>
      </c>
      <c r="T27" s="1" t="e">
        <f t="shared" si="7"/>
        <v>#DIV/0!</v>
      </c>
      <c r="U27" s="1">
        <f t="shared" si="8"/>
        <v>0</v>
      </c>
      <c r="W27">
        <v>2001</v>
      </c>
      <c r="X27" s="1" t="e">
        <f t="shared" si="9"/>
        <v>#DIV/0!</v>
      </c>
      <c r="Y27" s="1" t="e">
        <f t="shared" si="9"/>
        <v>#DIV/0!</v>
      </c>
      <c r="Z27" s="1" t="e">
        <f t="shared" si="9"/>
        <v>#DIV/0!</v>
      </c>
      <c r="AA27" s="1">
        <f t="shared" si="10"/>
        <v>0</v>
      </c>
      <c r="AC27">
        <v>2001</v>
      </c>
      <c r="AD27" s="1" t="e">
        <f t="shared" si="11"/>
        <v>#DIV/0!</v>
      </c>
      <c r="AE27" s="1" t="e">
        <f t="shared" si="11"/>
        <v>#DIV/0!</v>
      </c>
      <c r="AF27" s="1" t="e">
        <f t="shared" si="11"/>
        <v>#DIV/0!</v>
      </c>
      <c r="AG27" s="1">
        <f t="shared" si="12"/>
        <v>0</v>
      </c>
      <c r="AI27">
        <v>2001</v>
      </c>
      <c r="AJ27" s="1" t="e">
        <f t="shared" si="13"/>
        <v>#DIV/0!</v>
      </c>
      <c r="AK27" s="1" t="e">
        <f t="shared" si="13"/>
        <v>#DIV/0!</v>
      </c>
      <c r="AL27" s="1" t="e">
        <f t="shared" si="13"/>
        <v>#DIV/0!</v>
      </c>
      <c r="AM27" s="1">
        <f t="shared" si="14"/>
        <v>0</v>
      </c>
    </row>
    <row r="28" spans="11:39" x14ac:dyDescent="0.3">
      <c r="K28">
        <v>2002</v>
      </c>
      <c r="L28" s="1" t="e">
        <f t="shared" si="5"/>
        <v>#DIV/0!</v>
      </c>
      <c r="M28" s="1" t="e">
        <f t="shared" si="5"/>
        <v>#DIV/0!</v>
      </c>
      <c r="N28" s="1" t="e">
        <f t="shared" si="5"/>
        <v>#DIV/0!</v>
      </c>
      <c r="O28" s="1">
        <f t="shared" si="6"/>
        <v>0</v>
      </c>
      <c r="Q28">
        <v>2002</v>
      </c>
      <c r="R28" s="1" t="e">
        <f t="shared" si="7"/>
        <v>#DIV/0!</v>
      </c>
      <c r="S28" s="1" t="e">
        <f t="shared" si="7"/>
        <v>#DIV/0!</v>
      </c>
      <c r="T28" s="1" t="e">
        <f t="shared" si="7"/>
        <v>#DIV/0!</v>
      </c>
      <c r="U28" s="1">
        <f t="shared" si="8"/>
        <v>0</v>
      </c>
      <c r="W28">
        <v>2002</v>
      </c>
      <c r="X28" s="1" t="e">
        <f t="shared" si="9"/>
        <v>#DIV/0!</v>
      </c>
      <c r="Y28" s="1" t="e">
        <f t="shared" si="9"/>
        <v>#DIV/0!</v>
      </c>
      <c r="Z28" s="1" t="e">
        <f t="shared" si="9"/>
        <v>#DIV/0!</v>
      </c>
      <c r="AA28" s="1">
        <f t="shared" si="10"/>
        <v>0</v>
      </c>
      <c r="AC28">
        <v>2002</v>
      </c>
      <c r="AD28" s="1" t="e">
        <f t="shared" si="11"/>
        <v>#DIV/0!</v>
      </c>
      <c r="AE28" s="1" t="e">
        <f t="shared" si="11"/>
        <v>#DIV/0!</v>
      </c>
      <c r="AF28" s="1" t="e">
        <f t="shared" si="11"/>
        <v>#DIV/0!</v>
      </c>
      <c r="AG28" s="1">
        <f t="shared" si="12"/>
        <v>0</v>
      </c>
      <c r="AI28">
        <v>2002</v>
      </c>
      <c r="AJ28" s="1" t="e">
        <f t="shared" si="13"/>
        <v>#DIV/0!</v>
      </c>
      <c r="AK28" s="1" t="e">
        <f t="shared" si="13"/>
        <v>#DIV/0!</v>
      </c>
      <c r="AL28" s="1" t="e">
        <f t="shared" si="13"/>
        <v>#DIV/0!</v>
      </c>
      <c r="AM28" s="1">
        <f t="shared" si="14"/>
        <v>0</v>
      </c>
    </row>
    <row r="29" spans="11:39" x14ac:dyDescent="0.3">
      <c r="K29">
        <v>2003</v>
      </c>
      <c r="L29" s="1" t="e">
        <f t="shared" si="5"/>
        <v>#DIV/0!</v>
      </c>
      <c r="M29" s="1" t="e">
        <f t="shared" si="5"/>
        <v>#DIV/0!</v>
      </c>
      <c r="N29" s="1" t="e">
        <f t="shared" si="5"/>
        <v>#DIV/0!</v>
      </c>
      <c r="O29" s="1">
        <f t="shared" si="6"/>
        <v>0</v>
      </c>
      <c r="Q29">
        <v>2003</v>
      </c>
      <c r="R29" s="1" t="e">
        <f t="shared" si="7"/>
        <v>#DIV/0!</v>
      </c>
      <c r="S29" s="1" t="e">
        <f t="shared" si="7"/>
        <v>#DIV/0!</v>
      </c>
      <c r="T29" s="1" t="e">
        <f t="shared" si="7"/>
        <v>#DIV/0!</v>
      </c>
      <c r="U29" s="1">
        <f t="shared" si="8"/>
        <v>0</v>
      </c>
      <c r="W29">
        <v>2003</v>
      </c>
      <c r="X29" s="1" t="e">
        <f t="shared" si="9"/>
        <v>#DIV/0!</v>
      </c>
      <c r="Y29" s="1" t="e">
        <f t="shared" si="9"/>
        <v>#DIV/0!</v>
      </c>
      <c r="Z29" s="1" t="e">
        <f t="shared" si="9"/>
        <v>#DIV/0!</v>
      </c>
      <c r="AA29" s="1">
        <f t="shared" si="10"/>
        <v>0</v>
      </c>
      <c r="AC29">
        <v>2003</v>
      </c>
      <c r="AD29" s="1" t="e">
        <f t="shared" si="11"/>
        <v>#DIV/0!</v>
      </c>
      <c r="AE29" s="1" t="e">
        <f t="shared" si="11"/>
        <v>#DIV/0!</v>
      </c>
      <c r="AF29" s="1" t="e">
        <f t="shared" si="11"/>
        <v>#DIV/0!</v>
      </c>
      <c r="AG29" s="1">
        <f t="shared" si="12"/>
        <v>0</v>
      </c>
      <c r="AI29">
        <v>2003</v>
      </c>
      <c r="AJ29" s="1" t="e">
        <f t="shared" si="13"/>
        <v>#DIV/0!</v>
      </c>
      <c r="AK29" s="1" t="e">
        <f t="shared" si="13"/>
        <v>#DIV/0!</v>
      </c>
      <c r="AL29" s="1" t="e">
        <f t="shared" si="13"/>
        <v>#DIV/0!</v>
      </c>
      <c r="AM29" s="1">
        <f t="shared" si="14"/>
        <v>0</v>
      </c>
    </row>
    <row r="30" spans="11:39" x14ac:dyDescent="0.3">
      <c r="K30">
        <v>2004</v>
      </c>
      <c r="L30" s="1" t="e">
        <f t="shared" si="5"/>
        <v>#DIV/0!</v>
      </c>
      <c r="M30" s="1" t="e">
        <f t="shared" si="5"/>
        <v>#DIV/0!</v>
      </c>
      <c r="N30" s="1" t="e">
        <f t="shared" si="5"/>
        <v>#DIV/0!</v>
      </c>
      <c r="O30" s="1">
        <f t="shared" si="6"/>
        <v>0</v>
      </c>
      <c r="Q30">
        <v>2004</v>
      </c>
      <c r="R30" s="1" t="e">
        <f t="shared" si="7"/>
        <v>#DIV/0!</v>
      </c>
      <c r="S30" s="1" t="e">
        <f t="shared" si="7"/>
        <v>#DIV/0!</v>
      </c>
      <c r="T30" s="1" t="e">
        <f t="shared" si="7"/>
        <v>#DIV/0!</v>
      </c>
      <c r="U30" s="1">
        <f t="shared" si="8"/>
        <v>0</v>
      </c>
      <c r="W30">
        <v>2004</v>
      </c>
      <c r="X30" s="1" t="e">
        <f t="shared" si="9"/>
        <v>#DIV/0!</v>
      </c>
      <c r="Y30" s="1" t="e">
        <f t="shared" si="9"/>
        <v>#DIV/0!</v>
      </c>
      <c r="Z30" s="1" t="e">
        <f t="shared" si="9"/>
        <v>#DIV/0!</v>
      </c>
      <c r="AA30" s="1">
        <f t="shared" si="10"/>
        <v>0</v>
      </c>
      <c r="AC30">
        <v>2004</v>
      </c>
      <c r="AD30" s="1" t="e">
        <f t="shared" si="11"/>
        <v>#DIV/0!</v>
      </c>
      <c r="AE30" s="1" t="e">
        <f t="shared" si="11"/>
        <v>#DIV/0!</v>
      </c>
      <c r="AF30" s="1" t="e">
        <f t="shared" si="11"/>
        <v>#DIV/0!</v>
      </c>
      <c r="AG30" s="1">
        <f t="shared" si="12"/>
        <v>0</v>
      </c>
      <c r="AI30">
        <v>2004</v>
      </c>
      <c r="AJ30" s="1" t="e">
        <f t="shared" si="13"/>
        <v>#DIV/0!</v>
      </c>
      <c r="AK30" s="1" t="e">
        <f t="shared" si="13"/>
        <v>#DIV/0!</v>
      </c>
      <c r="AL30" s="1" t="e">
        <f t="shared" si="13"/>
        <v>#DIV/0!</v>
      </c>
      <c r="AM30" s="1">
        <f t="shared" si="14"/>
        <v>0</v>
      </c>
    </row>
    <row r="31" spans="11:39" x14ac:dyDescent="0.3">
      <c r="K31">
        <v>2005</v>
      </c>
      <c r="L31" s="1" t="e">
        <f t="shared" si="5"/>
        <v>#DIV/0!</v>
      </c>
      <c r="M31" s="1" t="e">
        <f t="shared" si="5"/>
        <v>#DIV/0!</v>
      </c>
      <c r="N31" s="1" t="e">
        <f t="shared" si="5"/>
        <v>#DIV/0!</v>
      </c>
      <c r="O31" s="1">
        <f t="shared" si="6"/>
        <v>0</v>
      </c>
      <c r="Q31">
        <v>2005</v>
      </c>
      <c r="R31" s="1" t="e">
        <f t="shared" si="7"/>
        <v>#DIV/0!</v>
      </c>
      <c r="S31" s="1" t="e">
        <f t="shared" si="7"/>
        <v>#DIV/0!</v>
      </c>
      <c r="T31" s="1" t="e">
        <f t="shared" si="7"/>
        <v>#DIV/0!</v>
      </c>
      <c r="U31" s="1">
        <f t="shared" si="8"/>
        <v>0</v>
      </c>
      <c r="W31">
        <v>2005</v>
      </c>
      <c r="X31" s="1" t="e">
        <f t="shared" si="9"/>
        <v>#DIV/0!</v>
      </c>
      <c r="Y31" s="1" t="e">
        <f t="shared" si="9"/>
        <v>#DIV/0!</v>
      </c>
      <c r="Z31" s="1" t="e">
        <f t="shared" si="9"/>
        <v>#DIV/0!</v>
      </c>
      <c r="AA31" s="1">
        <f t="shared" si="10"/>
        <v>0</v>
      </c>
      <c r="AC31">
        <v>2005</v>
      </c>
      <c r="AD31" s="1" t="e">
        <f t="shared" si="11"/>
        <v>#DIV/0!</v>
      </c>
      <c r="AE31" s="1" t="e">
        <f t="shared" si="11"/>
        <v>#DIV/0!</v>
      </c>
      <c r="AF31" s="1" t="e">
        <f t="shared" si="11"/>
        <v>#DIV/0!</v>
      </c>
      <c r="AG31" s="1">
        <f t="shared" si="12"/>
        <v>0</v>
      </c>
      <c r="AI31">
        <v>2005</v>
      </c>
      <c r="AJ31" s="1" t="e">
        <f t="shared" si="13"/>
        <v>#DIV/0!</v>
      </c>
      <c r="AK31" s="1" t="e">
        <f t="shared" si="13"/>
        <v>#DIV/0!</v>
      </c>
      <c r="AL31" s="1" t="e">
        <f t="shared" si="13"/>
        <v>#DIV/0!</v>
      </c>
      <c r="AM31" s="1">
        <f t="shared" si="14"/>
        <v>0</v>
      </c>
    </row>
    <row r="32" spans="11:39" x14ac:dyDescent="0.3">
      <c r="L32" s="2" t="e">
        <f>AVERAGE(L2:L31)</f>
        <v>#DIV/0!</v>
      </c>
      <c r="M32" s="2" t="e">
        <f t="shared" ref="M32:AM32" si="15">AVERAGE(M2:M31)</f>
        <v>#DIV/0!</v>
      </c>
      <c r="N32" s="2" t="e">
        <f t="shared" si="15"/>
        <v>#DIV/0!</v>
      </c>
      <c r="O32" s="2">
        <f t="shared" si="15"/>
        <v>0</v>
      </c>
      <c r="P32" s="2"/>
      <c r="Q32" s="2"/>
      <c r="R32" s="2" t="e">
        <f t="shared" si="15"/>
        <v>#DIV/0!</v>
      </c>
      <c r="S32" s="2" t="e">
        <f t="shared" si="15"/>
        <v>#DIV/0!</v>
      </c>
      <c r="T32" s="2" t="e">
        <f t="shared" si="15"/>
        <v>#DIV/0!</v>
      </c>
      <c r="U32" s="2">
        <f t="shared" si="15"/>
        <v>0</v>
      </c>
      <c r="V32" s="2"/>
      <c r="W32" s="2"/>
      <c r="X32" s="2" t="e">
        <f t="shared" si="15"/>
        <v>#DIV/0!</v>
      </c>
      <c r="Y32" s="2" t="e">
        <f t="shared" si="15"/>
        <v>#DIV/0!</v>
      </c>
      <c r="Z32" s="2" t="e">
        <f t="shared" si="15"/>
        <v>#DIV/0!</v>
      </c>
      <c r="AA32" s="2">
        <f t="shared" si="15"/>
        <v>0</v>
      </c>
      <c r="AB32" s="2"/>
      <c r="AC32" s="2"/>
      <c r="AD32" s="2" t="e">
        <f t="shared" si="15"/>
        <v>#DIV/0!</v>
      </c>
      <c r="AE32" s="2" t="e">
        <f t="shared" si="15"/>
        <v>#DIV/0!</v>
      </c>
      <c r="AF32" s="2" t="e">
        <f t="shared" si="15"/>
        <v>#DIV/0!</v>
      </c>
      <c r="AG32" s="2">
        <f t="shared" si="15"/>
        <v>0</v>
      </c>
      <c r="AH32" s="2"/>
      <c r="AI32" s="2"/>
      <c r="AJ32" s="2" t="e">
        <f t="shared" si="15"/>
        <v>#DIV/0!</v>
      </c>
      <c r="AK32" s="2" t="e">
        <f t="shared" si="15"/>
        <v>#DIV/0!</v>
      </c>
      <c r="AL32" s="2" t="e">
        <f t="shared" si="15"/>
        <v>#DIV/0!</v>
      </c>
      <c r="AM32" s="2">
        <f t="shared" si="15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K1:AM42"/>
  <sheetViews>
    <sheetView workbookViewId="0">
      <selection activeCell="K2" sqref="K2"/>
    </sheetView>
  </sheetViews>
  <sheetFormatPr defaultRowHeight="14.4" x14ac:dyDescent="0.3"/>
  <sheetData>
    <row r="1" spans="11:39" x14ac:dyDescent="0.3">
      <c r="K1" t="s">
        <v>4</v>
      </c>
      <c r="L1" t="s">
        <v>0</v>
      </c>
      <c r="M1" t="s">
        <v>1</v>
      </c>
      <c r="N1" t="s">
        <v>2</v>
      </c>
      <c r="O1" t="s">
        <v>3</v>
      </c>
      <c r="Q1" t="s">
        <v>6</v>
      </c>
      <c r="R1" t="s">
        <v>0</v>
      </c>
      <c r="S1" t="s">
        <v>1</v>
      </c>
      <c r="T1" t="s">
        <v>2</v>
      </c>
      <c r="U1" t="s">
        <v>3</v>
      </c>
      <c r="W1" t="s">
        <v>7</v>
      </c>
      <c r="X1" t="s">
        <v>0</v>
      </c>
      <c r="Y1" t="s">
        <v>1</v>
      </c>
      <c r="Z1" t="s">
        <v>2</v>
      </c>
      <c r="AA1" t="s">
        <v>3</v>
      </c>
      <c r="AC1" t="s">
        <v>5</v>
      </c>
      <c r="AD1" t="s">
        <v>0</v>
      </c>
      <c r="AE1" t="s">
        <v>1</v>
      </c>
      <c r="AF1" t="s">
        <v>2</v>
      </c>
      <c r="AG1" t="s">
        <v>3</v>
      </c>
      <c r="AI1" t="s">
        <v>8</v>
      </c>
      <c r="AJ1" t="s">
        <v>0</v>
      </c>
      <c r="AK1" t="s">
        <v>1</v>
      </c>
      <c r="AL1" t="s">
        <v>2</v>
      </c>
      <c r="AM1" t="s">
        <v>3</v>
      </c>
    </row>
    <row r="2" spans="11:39" x14ac:dyDescent="0.3">
      <c r="K2">
        <v>2021</v>
      </c>
      <c r="L2" s="1" t="e">
        <f t="shared" ref="L2:L41" si="0">AVERAGEIF($F$2:$F$15000,$K2,B$2:B$15000)</f>
        <v>#DIV/0!</v>
      </c>
      <c r="M2" s="1" t="e">
        <f t="shared" ref="M2:M41" si="1">AVERAGEIF($F$2:$F$15000,$K2,C$2:C$15000)</f>
        <v>#DIV/0!</v>
      </c>
      <c r="N2" s="1" t="e">
        <f t="shared" ref="N2:N41" si="2">AVERAGEIF($F$2:$F$15000,$K2,D$2:D$15000)</f>
        <v>#DIV/0!</v>
      </c>
      <c r="O2" s="1">
        <f t="shared" ref="O2:O41" si="3">SUMIF($F$2:$F$15000,$K2,E$2:E$15000)</f>
        <v>0</v>
      </c>
      <c r="Q2">
        <v>2021</v>
      </c>
      <c r="R2" s="1" t="e">
        <f t="shared" ref="R2:R41" si="4">AVERAGEIFS(B$2:B$15000,$F$2:$F$15000,$Q2,$G$2:$G$15000,"&gt;=1",$G$2:$G$15000,"&lt;=2")</f>
        <v>#DIV/0!</v>
      </c>
      <c r="S2" s="1" t="e">
        <f t="shared" ref="S2:S41" si="5">AVERAGEIFS(C$2:C$15000,$F$2:$F$15000,$Q2,$G$2:$G$15000,"&gt;=1",$G$2:$G$15000,"&lt;=2")</f>
        <v>#DIV/0!</v>
      </c>
      <c r="T2" s="1" t="e">
        <f t="shared" ref="T2:T41" si="6">AVERAGEIFS(D$2:D$15000,$F$2:$F$15000,$Q2,$G$2:$G$15000,"&gt;=1",$G$2:$G$15000,"&lt;=2")</f>
        <v>#DIV/0!</v>
      </c>
      <c r="U2" s="1">
        <f t="shared" ref="U2:U41" si="7">SUMIFS(E$2:E$15000,$F$2:$F$15000,$Q2,$G$2:$G$15000,"&gt;=1",$G$2:$G$15000,"&lt;=2")</f>
        <v>0</v>
      </c>
      <c r="V2" s="1"/>
      <c r="W2" s="3">
        <v>2021</v>
      </c>
      <c r="X2" s="1" t="e">
        <f t="shared" ref="X2:X41" si="8">AVERAGEIFS(B$2:B$15000,$F$2:$F$15000,$W2,$G$2:$G$15000,"&gt;=3",$G$2:$G$15000,"&lt;=5")</f>
        <v>#DIV/0!</v>
      </c>
      <c r="Y2" s="1" t="e">
        <f t="shared" ref="Y2:Y41" si="9">AVERAGEIFS(C$2:C$15000,$F$2:$F$15000,$W2,$G$2:$G$15000,"&gt;=3",$G$2:$G$15000,"&lt;=5")</f>
        <v>#DIV/0!</v>
      </c>
      <c r="Z2" s="1" t="e">
        <f t="shared" ref="Z2:Z41" si="10">AVERAGEIFS(D$2:D$15000,$F$2:$F$15000,$W2,$G$2:$G$15000,"&gt;=3",$G$2:$G$15000,"&lt;=5")</f>
        <v>#DIV/0!</v>
      </c>
      <c r="AA2" s="1">
        <f t="shared" ref="AA2:AA41" si="11">SUMIFS(E$2:E$15000,$F$2:$F$15000,$W2,$G$2:$G$15000,"&gt;=3",$G$2:$G$15000,"&lt;=5")</f>
        <v>0</v>
      </c>
      <c r="AB2" s="1"/>
      <c r="AC2" s="3">
        <v>2021</v>
      </c>
      <c r="AD2" s="1" t="e">
        <f t="shared" ref="AD2:AD41" si="12">AVERAGEIFS(B$2:B$15000,$F$2:$F$15000,$AC2,$G$2:$G$15000,"&gt;=6",$G$2:$G$15000,"&lt;=9")</f>
        <v>#DIV/0!</v>
      </c>
      <c r="AE2" s="1" t="e">
        <f t="shared" ref="AE2:AE41" si="13">AVERAGEIFS(C$2:C$15000,$F$2:$F$15000,$AC2,$G$2:$G$15000,"&gt;=6",$G$2:$G$15000,"&lt;=9")</f>
        <v>#DIV/0!</v>
      </c>
      <c r="AF2" s="1" t="e">
        <f t="shared" ref="AF2:AF41" si="14">AVERAGEIFS(D$2:D$15000,$F$2:$F$15000,$AC2,$G$2:$G$15000,"&gt;=6",$G$2:$G$15000,"&lt;=9")</f>
        <v>#DIV/0!</v>
      </c>
      <c r="AG2" s="1">
        <f t="shared" ref="AG2:AG41" si="15">SUMIFS(E$2:E$15000,$F$2:$F$15000,$AC2,$G$2:$G$15000,"&gt;=6",$G$2:$G$15000,"&lt;=9")</f>
        <v>0</v>
      </c>
      <c r="AH2" s="1"/>
      <c r="AI2" s="3">
        <v>2021</v>
      </c>
      <c r="AJ2" s="1" t="e">
        <f t="shared" ref="AJ2:AJ41" si="16">AVERAGEIFS(B$2:B$15000,$F$2:$F$15000,$AI2,$G$2:$G$15000,"&gt;=10",$G$2:$G$15000,"&lt;=12")</f>
        <v>#DIV/0!</v>
      </c>
      <c r="AK2" s="1" t="e">
        <f t="shared" ref="AK2:AK41" si="17">AVERAGEIFS(C$2:C$15000,$F$2:$F$15000,$AI2,$G$2:$G$15000,"&gt;=10",$G$2:$G$15000,"&lt;=12")</f>
        <v>#DIV/0!</v>
      </c>
      <c r="AL2" s="1" t="e">
        <f t="shared" ref="AL2:AL41" si="18">AVERAGEIFS(D$2:D$15000,$F$2:$F$15000,$AI2,$G$2:$G$15000,"&gt;=10",$G$2:$G$15000,"&lt;=12")</f>
        <v>#DIV/0!</v>
      </c>
      <c r="AM2" s="1">
        <f t="shared" ref="AM2:AM41" si="19">SUMIFS(E$2:E$15000,$F$2:$F$15000,$AI2,$G$2:$G$15000,"&gt;=10",$G$2:$G$15000,"&lt;=12")</f>
        <v>0</v>
      </c>
    </row>
    <row r="3" spans="11:39" x14ac:dyDescent="0.3">
      <c r="K3">
        <v>2022</v>
      </c>
      <c r="L3" s="1" t="e">
        <f t="shared" si="0"/>
        <v>#DIV/0!</v>
      </c>
      <c r="M3" s="1" t="e">
        <f t="shared" si="1"/>
        <v>#DIV/0!</v>
      </c>
      <c r="N3" s="1" t="e">
        <f t="shared" si="2"/>
        <v>#DIV/0!</v>
      </c>
      <c r="O3" s="1">
        <f t="shared" si="3"/>
        <v>0</v>
      </c>
      <c r="Q3">
        <v>2022</v>
      </c>
      <c r="R3" s="1" t="e">
        <f t="shared" si="4"/>
        <v>#DIV/0!</v>
      </c>
      <c r="S3" s="1" t="e">
        <f t="shared" si="5"/>
        <v>#DIV/0!</v>
      </c>
      <c r="T3" s="1" t="e">
        <f t="shared" si="6"/>
        <v>#DIV/0!</v>
      </c>
      <c r="U3" s="1">
        <f t="shared" si="7"/>
        <v>0</v>
      </c>
      <c r="V3" s="1"/>
      <c r="W3" s="3">
        <v>2022</v>
      </c>
      <c r="X3" s="1" t="e">
        <f t="shared" si="8"/>
        <v>#DIV/0!</v>
      </c>
      <c r="Y3" s="1" t="e">
        <f t="shared" si="9"/>
        <v>#DIV/0!</v>
      </c>
      <c r="Z3" s="1" t="e">
        <f t="shared" si="10"/>
        <v>#DIV/0!</v>
      </c>
      <c r="AA3" s="1">
        <f t="shared" si="11"/>
        <v>0</v>
      </c>
      <c r="AB3" s="1"/>
      <c r="AC3" s="3">
        <v>2022</v>
      </c>
      <c r="AD3" s="1" t="e">
        <f t="shared" si="12"/>
        <v>#DIV/0!</v>
      </c>
      <c r="AE3" s="1" t="e">
        <f t="shared" si="13"/>
        <v>#DIV/0!</v>
      </c>
      <c r="AF3" s="1" t="e">
        <f t="shared" si="14"/>
        <v>#DIV/0!</v>
      </c>
      <c r="AG3" s="1">
        <f t="shared" si="15"/>
        <v>0</v>
      </c>
      <c r="AH3" s="1"/>
      <c r="AI3" s="3">
        <v>2022</v>
      </c>
      <c r="AJ3" s="1" t="e">
        <f t="shared" si="16"/>
        <v>#DIV/0!</v>
      </c>
      <c r="AK3" s="1" t="e">
        <f t="shared" si="17"/>
        <v>#DIV/0!</v>
      </c>
      <c r="AL3" s="1" t="e">
        <f t="shared" si="18"/>
        <v>#DIV/0!</v>
      </c>
      <c r="AM3" s="1">
        <f t="shared" si="19"/>
        <v>0</v>
      </c>
    </row>
    <row r="4" spans="11:39" x14ac:dyDescent="0.3">
      <c r="K4">
        <v>2023</v>
      </c>
      <c r="L4" s="1" t="e">
        <f t="shared" si="0"/>
        <v>#DIV/0!</v>
      </c>
      <c r="M4" s="1" t="e">
        <f t="shared" si="1"/>
        <v>#DIV/0!</v>
      </c>
      <c r="N4" s="1" t="e">
        <f t="shared" si="2"/>
        <v>#DIV/0!</v>
      </c>
      <c r="O4" s="1">
        <f t="shared" si="3"/>
        <v>0</v>
      </c>
      <c r="Q4">
        <v>2023</v>
      </c>
      <c r="R4" s="1" t="e">
        <f t="shared" si="4"/>
        <v>#DIV/0!</v>
      </c>
      <c r="S4" s="1" t="e">
        <f t="shared" si="5"/>
        <v>#DIV/0!</v>
      </c>
      <c r="T4" s="1" t="e">
        <f t="shared" si="6"/>
        <v>#DIV/0!</v>
      </c>
      <c r="U4" s="1">
        <f t="shared" si="7"/>
        <v>0</v>
      </c>
      <c r="V4" s="1"/>
      <c r="W4" s="3">
        <v>2023</v>
      </c>
      <c r="X4" s="1" t="e">
        <f t="shared" si="8"/>
        <v>#DIV/0!</v>
      </c>
      <c r="Y4" s="1" t="e">
        <f t="shared" si="9"/>
        <v>#DIV/0!</v>
      </c>
      <c r="Z4" s="1" t="e">
        <f t="shared" si="10"/>
        <v>#DIV/0!</v>
      </c>
      <c r="AA4" s="1">
        <f t="shared" si="11"/>
        <v>0</v>
      </c>
      <c r="AB4" s="1"/>
      <c r="AC4" s="3">
        <v>2023</v>
      </c>
      <c r="AD4" s="1" t="e">
        <f t="shared" si="12"/>
        <v>#DIV/0!</v>
      </c>
      <c r="AE4" s="1" t="e">
        <f t="shared" si="13"/>
        <v>#DIV/0!</v>
      </c>
      <c r="AF4" s="1" t="e">
        <f t="shared" si="14"/>
        <v>#DIV/0!</v>
      </c>
      <c r="AG4" s="1">
        <f t="shared" si="15"/>
        <v>0</v>
      </c>
      <c r="AH4" s="1"/>
      <c r="AI4" s="3">
        <v>2023</v>
      </c>
      <c r="AJ4" s="1" t="e">
        <f t="shared" si="16"/>
        <v>#DIV/0!</v>
      </c>
      <c r="AK4" s="1" t="e">
        <f t="shared" si="17"/>
        <v>#DIV/0!</v>
      </c>
      <c r="AL4" s="1" t="e">
        <f t="shared" si="18"/>
        <v>#DIV/0!</v>
      </c>
      <c r="AM4" s="1">
        <f t="shared" si="19"/>
        <v>0</v>
      </c>
    </row>
    <row r="5" spans="11:39" x14ac:dyDescent="0.3">
      <c r="K5">
        <v>2024</v>
      </c>
      <c r="L5" s="1" t="e">
        <f t="shared" si="0"/>
        <v>#DIV/0!</v>
      </c>
      <c r="M5" s="1" t="e">
        <f t="shared" si="1"/>
        <v>#DIV/0!</v>
      </c>
      <c r="N5" s="1" t="e">
        <f t="shared" si="2"/>
        <v>#DIV/0!</v>
      </c>
      <c r="O5" s="1">
        <f t="shared" si="3"/>
        <v>0</v>
      </c>
      <c r="Q5">
        <v>2024</v>
      </c>
      <c r="R5" s="1" t="e">
        <f t="shared" si="4"/>
        <v>#DIV/0!</v>
      </c>
      <c r="S5" s="1" t="e">
        <f t="shared" si="5"/>
        <v>#DIV/0!</v>
      </c>
      <c r="T5" s="1" t="e">
        <f t="shared" si="6"/>
        <v>#DIV/0!</v>
      </c>
      <c r="U5" s="1">
        <f t="shared" si="7"/>
        <v>0</v>
      </c>
      <c r="V5" s="1"/>
      <c r="W5" s="3">
        <v>2024</v>
      </c>
      <c r="X5" s="1" t="e">
        <f t="shared" si="8"/>
        <v>#DIV/0!</v>
      </c>
      <c r="Y5" s="1" t="e">
        <f t="shared" si="9"/>
        <v>#DIV/0!</v>
      </c>
      <c r="Z5" s="1" t="e">
        <f t="shared" si="10"/>
        <v>#DIV/0!</v>
      </c>
      <c r="AA5" s="1">
        <f t="shared" si="11"/>
        <v>0</v>
      </c>
      <c r="AB5" s="1"/>
      <c r="AC5" s="3">
        <v>2024</v>
      </c>
      <c r="AD5" s="1" t="e">
        <f t="shared" si="12"/>
        <v>#DIV/0!</v>
      </c>
      <c r="AE5" s="1" t="e">
        <f t="shared" si="13"/>
        <v>#DIV/0!</v>
      </c>
      <c r="AF5" s="1" t="e">
        <f t="shared" si="14"/>
        <v>#DIV/0!</v>
      </c>
      <c r="AG5" s="1">
        <f t="shared" si="15"/>
        <v>0</v>
      </c>
      <c r="AH5" s="1"/>
      <c r="AI5" s="3">
        <v>2024</v>
      </c>
      <c r="AJ5" s="1" t="e">
        <f t="shared" si="16"/>
        <v>#DIV/0!</v>
      </c>
      <c r="AK5" s="1" t="e">
        <f t="shared" si="17"/>
        <v>#DIV/0!</v>
      </c>
      <c r="AL5" s="1" t="e">
        <f t="shared" si="18"/>
        <v>#DIV/0!</v>
      </c>
      <c r="AM5" s="1">
        <f t="shared" si="19"/>
        <v>0</v>
      </c>
    </row>
    <row r="6" spans="11:39" x14ac:dyDescent="0.3">
      <c r="K6">
        <v>2025</v>
      </c>
      <c r="L6" s="1" t="e">
        <f t="shared" si="0"/>
        <v>#DIV/0!</v>
      </c>
      <c r="M6" s="1" t="e">
        <f t="shared" si="1"/>
        <v>#DIV/0!</v>
      </c>
      <c r="N6" s="1" t="e">
        <f t="shared" si="2"/>
        <v>#DIV/0!</v>
      </c>
      <c r="O6" s="1">
        <f t="shared" si="3"/>
        <v>0</v>
      </c>
      <c r="Q6">
        <v>2025</v>
      </c>
      <c r="R6" s="1" t="e">
        <f t="shared" si="4"/>
        <v>#DIV/0!</v>
      </c>
      <c r="S6" s="1" t="e">
        <f t="shared" si="5"/>
        <v>#DIV/0!</v>
      </c>
      <c r="T6" s="1" t="e">
        <f t="shared" si="6"/>
        <v>#DIV/0!</v>
      </c>
      <c r="U6" s="1">
        <f t="shared" si="7"/>
        <v>0</v>
      </c>
      <c r="V6" s="1"/>
      <c r="W6" s="3">
        <v>2025</v>
      </c>
      <c r="X6" s="1" t="e">
        <f t="shared" si="8"/>
        <v>#DIV/0!</v>
      </c>
      <c r="Y6" s="1" t="e">
        <f t="shared" si="9"/>
        <v>#DIV/0!</v>
      </c>
      <c r="Z6" s="1" t="e">
        <f t="shared" si="10"/>
        <v>#DIV/0!</v>
      </c>
      <c r="AA6" s="1">
        <f t="shared" si="11"/>
        <v>0</v>
      </c>
      <c r="AB6" s="1"/>
      <c r="AC6" s="3">
        <v>2025</v>
      </c>
      <c r="AD6" s="1" t="e">
        <f t="shared" si="12"/>
        <v>#DIV/0!</v>
      </c>
      <c r="AE6" s="1" t="e">
        <f t="shared" si="13"/>
        <v>#DIV/0!</v>
      </c>
      <c r="AF6" s="1" t="e">
        <f t="shared" si="14"/>
        <v>#DIV/0!</v>
      </c>
      <c r="AG6" s="1">
        <f t="shared" si="15"/>
        <v>0</v>
      </c>
      <c r="AH6" s="1"/>
      <c r="AI6" s="3">
        <v>2025</v>
      </c>
      <c r="AJ6" s="1" t="e">
        <f t="shared" si="16"/>
        <v>#DIV/0!</v>
      </c>
      <c r="AK6" s="1" t="e">
        <f t="shared" si="17"/>
        <v>#DIV/0!</v>
      </c>
      <c r="AL6" s="1" t="e">
        <f t="shared" si="18"/>
        <v>#DIV/0!</v>
      </c>
      <c r="AM6" s="1">
        <f t="shared" si="19"/>
        <v>0</v>
      </c>
    </row>
    <row r="7" spans="11:39" x14ac:dyDescent="0.3">
      <c r="K7">
        <v>2026</v>
      </c>
      <c r="L7" s="1" t="e">
        <f t="shared" si="0"/>
        <v>#DIV/0!</v>
      </c>
      <c r="M7" s="1" t="e">
        <f t="shared" si="1"/>
        <v>#DIV/0!</v>
      </c>
      <c r="N7" s="1" t="e">
        <f t="shared" si="2"/>
        <v>#DIV/0!</v>
      </c>
      <c r="O7" s="1">
        <f t="shared" si="3"/>
        <v>0</v>
      </c>
      <c r="Q7">
        <v>2026</v>
      </c>
      <c r="R7" s="1" t="e">
        <f t="shared" si="4"/>
        <v>#DIV/0!</v>
      </c>
      <c r="S7" s="1" t="e">
        <f t="shared" si="5"/>
        <v>#DIV/0!</v>
      </c>
      <c r="T7" s="1" t="e">
        <f t="shared" si="6"/>
        <v>#DIV/0!</v>
      </c>
      <c r="U7" s="1">
        <f t="shared" si="7"/>
        <v>0</v>
      </c>
      <c r="V7" s="1"/>
      <c r="W7" s="3">
        <v>2026</v>
      </c>
      <c r="X7" s="1" t="e">
        <f t="shared" si="8"/>
        <v>#DIV/0!</v>
      </c>
      <c r="Y7" s="1" t="e">
        <f t="shared" si="9"/>
        <v>#DIV/0!</v>
      </c>
      <c r="Z7" s="1" t="e">
        <f t="shared" si="10"/>
        <v>#DIV/0!</v>
      </c>
      <c r="AA7" s="1">
        <f t="shared" si="11"/>
        <v>0</v>
      </c>
      <c r="AB7" s="1"/>
      <c r="AC7" s="3">
        <v>2026</v>
      </c>
      <c r="AD7" s="1" t="e">
        <f t="shared" si="12"/>
        <v>#DIV/0!</v>
      </c>
      <c r="AE7" s="1" t="e">
        <f t="shared" si="13"/>
        <v>#DIV/0!</v>
      </c>
      <c r="AF7" s="1" t="e">
        <f t="shared" si="14"/>
        <v>#DIV/0!</v>
      </c>
      <c r="AG7" s="1">
        <f t="shared" si="15"/>
        <v>0</v>
      </c>
      <c r="AH7" s="1"/>
      <c r="AI7" s="3">
        <v>2026</v>
      </c>
      <c r="AJ7" s="1" t="e">
        <f t="shared" si="16"/>
        <v>#DIV/0!</v>
      </c>
      <c r="AK7" s="1" t="e">
        <f t="shared" si="17"/>
        <v>#DIV/0!</v>
      </c>
      <c r="AL7" s="1" t="e">
        <f t="shared" si="18"/>
        <v>#DIV/0!</v>
      </c>
      <c r="AM7" s="1">
        <f t="shared" si="19"/>
        <v>0</v>
      </c>
    </row>
    <row r="8" spans="11:39" x14ac:dyDescent="0.3">
      <c r="K8">
        <v>2027</v>
      </c>
      <c r="L8" s="1" t="e">
        <f t="shared" si="0"/>
        <v>#DIV/0!</v>
      </c>
      <c r="M8" s="1" t="e">
        <f t="shared" si="1"/>
        <v>#DIV/0!</v>
      </c>
      <c r="N8" s="1" t="e">
        <f t="shared" si="2"/>
        <v>#DIV/0!</v>
      </c>
      <c r="O8" s="1">
        <f t="shared" si="3"/>
        <v>0</v>
      </c>
      <c r="Q8">
        <v>2027</v>
      </c>
      <c r="R8" s="1" t="e">
        <f t="shared" si="4"/>
        <v>#DIV/0!</v>
      </c>
      <c r="S8" s="1" t="e">
        <f t="shared" si="5"/>
        <v>#DIV/0!</v>
      </c>
      <c r="T8" s="1" t="e">
        <f t="shared" si="6"/>
        <v>#DIV/0!</v>
      </c>
      <c r="U8" s="1">
        <f t="shared" si="7"/>
        <v>0</v>
      </c>
      <c r="V8" s="1"/>
      <c r="W8" s="3">
        <v>2027</v>
      </c>
      <c r="X8" s="1" t="e">
        <f t="shared" si="8"/>
        <v>#DIV/0!</v>
      </c>
      <c r="Y8" s="1" t="e">
        <f t="shared" si="9"/>
        <v>#DIV/0!</v>
      </c>
      <c r="Z8" s="1" t="e">
        <f t="shared" si="10"/>
        <v>#DIV/0!</v>
      </c>
      <c r="AA8" s="1">
        <f t="shared" si="11"/>
        <v>0</v>
      </c>
      <c r="AB8" s="1"/>
      <c r="AC8" s="3">
        <v>2027</v>
      </c>
      <c r="AD8" s="1" t="e">
        <f t="shared" si="12"/>
        <v>#DIV/0!</v>
      </c>
      <c r="AE8" s="1" t="e">
        <f t="shared" si="13"/>
        <v>#DIV/0!</v>
      </c>
      <c r="AF8" s="1" t="e">
        <f t="shared" si="14"/>
        <v>#DIV/0!</v>
      </c>
      <c r="AG8" s="1">
        <f t="shared" si="15"/>
        <v>0</v>
      </c>
      <c r="AH8" s="1"/>
      <c r="AI8" s="3">
        <v>2027</v>
      </c>
      <c r="AJ8" s="1" t="e">
        <f t="shared" si="16"/>
        <v>#DIV/0!</v>
      </c>
      <c r="AK8" s="1" t="e">
        <f t="shared" si="17"/>
        <v>#DIV/0!</v>
      </c>
      <c r="AL8" s="1" t="e">
        <f t="shared" si="18"/>
        <v>#DIV/0!</v>
      </c>
      <c r="AM8" s="1">
        <f t="shared" si="19"/>
        <v>0</v>
      </c>
    </row>
    <row r="9" spans="11:39" x14ac:dyDescent="0.3">
      <c r="K9">
        <v>2028</v>
      </c>
      <c r="L9" s="1" t="e">
        <f t="shared" si="0"/>
        <v>#DIV/0!</v>
      </c>
      <c r="M9" s="1" t="e">
        <f t="shared" si="1"/>
        <v>#DIV/0!</v>
      </c>
      <c r="N9" s="1" t="e">
        <f t="shared" si="2"/>
        <v>#DIV/0!</v>
      </c>
      <c r="O9" s="1">
        <f t="shared" si="3"/>
        <v>0</v>
      </c>
      <c r="Q9">
        <v>2028</v>
      </c>
      <c r="R9" s="1" t="e">
        <f t="shared" si="4"/>
        <v>#DIV/0!</v>
      </c>
      <c r="S9" s="1" t="e">
        <f t="shared" si="5"/>
        <v>#DIV/0!</v>
      </c>
      <c r="T9" s="1" t="e">
        <f t="shared" si="6"/>
        <v>#DIV/0!</v>
      </c>
      <c r="U9" s="1">
        <f t="shared" si="7"/>
        <v>0</v>
      </c>
      <c r="V9" s="1"/>
      <c r="W9" s="3">
        <v>2028</v>
      </c>
      <c r="X9" s="1" t="e">
        <f t="shared" si="8"/>
        <v>#DIV/0!</v>
      </c>
      <c r="Y9" s="1" t="e">
        <f t="shared" si="9"/>
        <v>#DIV/0!</v>
      </c>
      <c r="Z9" s="1" t="e">
        <f t="shared" si="10"/>
        <v>#DIV/0!</v>
      </c>
      <c r="AA9" s="1">
        <f t="shared" si="11"/>
        <v>0</v>
      </c>
      <c r="AB9" s="1"/>
      <c r="AC9" s="3">
        <v>2028</v>
      </c>
      <c r="AD9" s="1" t="e">
        <f t="shared" si="12"/>
        <v>#DIV/0!</v>
      </c>
      <c r="AE9" s="1" t="e">
        <f t="shared" si="13"/>
        <v>#DIV/0!</v>
      </c>
      <c r="AF9" s="1" t="e">
        <f t="shared" si="14"/>
        <v>#DIV/0!</v>
      </c>
      <c r="AG9" s="1">
        <f t="shared" si="15"/>
        <v>0</v>
      </c>
      <c r="AH9" s="1"/>
      <c r="AI9" s="3">
        <v>2028</v>
      </c>
      <c r="AJ9" s="1" t="e">
        <f t="shared" si="16"/>
        <v>#DIV/0!</v>
      </c>
      <c r="AK9" s="1" t="e">
        <f t="shared" si="17"/>
        <v>#DIV/0!</v>
      </c>
      <c r="AL9" s="1" t="e">
        <f t="shared" si="18"/>
        <v>#DIV/0!</v>
      </c>
      <c r="AM9" s="1">
        <f t="shared" si="19"/>
        <v>0</v>
      </c>
    </row>
    <row r="10" spans="11:39" x14ac:dyDescent="0.3">
      <c r="K10">
        <v>2029</v>
      </c>
      <c r="L10" s="1" t="e">
        <f t="shared" si="0"/>
        <v>#DIV/0!</v>
      </c>
      <c r="M10" s="1" t="e">
        <f t="shared" si="1"/>
        <v>#DIV/0!</v>
      </c>
      <c r="N10" s="1" t="e">
        <f t="shared" si="2"/>
        <v>#DIV/0!</v>
      </c>
      <c r="O10" s="1">
        <f t="shared" si="3"/>
        <v>0</v>
      </c>
      <c r="Q10">
        <v>2029</v>
      </c>
      <c r="R10" s="1" t="e">
        <f t="shared" si="4"/>
        <v>#DIV/0!</v>
      </c>
      <c r="S10" s="1" t="e">
        <f t="shared" si="5"/>
        <v>#DIV/0!</v>
      </c>
      <c r="T10" s="1" t="e">
        <f t="shared" si="6"/>
        <v>#DIV/0!</v>
      </c>
      <c r="U10" s="1">
        <f t="shared" si="7"/>
        <v>0</v>
      </c>
      <c r="V10" s="1"/>
      <c r="W10" s="3">
        <v>2029</v>
      </c>
      <c r="X10" s="1" t="e">
        <f t="shared" si="8"/>
        <v>#DIV/0!</v>
      </c>
      <c r="Y10" s="1" t="e">
        <f t="shared" si="9"/>
        <v>#DIV/0!</v>
      </c>
      <c r="Z10" s="1" t="e">
        <f t="shared" si="10"/>
        <v>#DIV/0!</v>
      </c>
      <c r="AA10" s="1">
        <f t="shared" si="11"/>
        <v>0</v>
      </c>
      <c r="AB10" s="1"/>
      <c r="AC10" s="3">
        <v>2029</v>
      </c>
      <c r="AD10" s="1" t="e">
        <f t="shared" si="12"/>
        <v>#DIV/0!</v>
      </c>
      <c r="AE10" s="1" t="e">
        <f t="shared" si="13"/>
        <v>#DIV/0!</v>
      </c>
      <c r="AF10" s="1" t="e">
        <f t="shared" si="14"/>
        <v>#DIV/0!</v>
      </c>
      <c r="AG10" s="1">
        <f t="shared" si="15"/>
        <v>0</v>
      </c>
      <c r="AH10" s="1"/>
      <c r="AI10" s="3">
        <v>2029</v>
      </c>
      <c r="AJ10" s="1" t="e">
        <f t="shared" si="16"/>
        <v>#DIV/0!</v>
      </c>
      <c r="AK10" s="1" t="e">
        <f t="shared" si="17"/>
        <v>#DIV/0!</v>
      </c>
      <c r="AL10" s="1" t="e">
        <f t="shared" si="18"/>
        <v>#DIV/0!</v>
      </c>
      <c r="AM10" s="1">
        <f t="shared" si="19"/>
        <v>0</v>
      </c>
    </row>
    <row r="11" spans="11:39" x14ac:dyDescent="0.3">
      <c r="K11">
        <v>2030</v>
      </c>
      <c r="L11" s="1" t="e">
        <f t="shared" si="0"/>
        <v>#DIV/0!</v>
      </c>
      <c r="M11" s="1" t="e">
        <f t="shared" si="1"/>
        <v>#DIV/0!</v>
      </c>
      <c r="N11" s="1" t="e">
        <f t="shared" si="2"/>
        <v>#DIV/0!</v>
      </c>
      <c r="O11" s="1">
        <f t="shared" si="3"/>
        <v>0</v>
      </c>
      <c r="Q11">
        <v>2030</v>
      </c>
      <c r="R11" s="1" t="e">
        <f t="shared" si="4"/>
        <v>#DIV/0!</v>
      </c>
      <c r="S11" s="1" t="e">
        <f t="shared" si="5"/>
        <v>#DIV/0!</v>
      </c>
      <c r="T11" s="1" t="e">
        <f t="shared" si="6"/>
        <v>#DIV/0!</v>
      </c>
      <c r="U11" s="1">
        <f t="shared" si="7"/>
        <v>0</v>
      </c>
      <c r="V11" s="1"/>
      <c r="W11" s="3">
        <v>2030</v>
      </c>
      <c r="X11" s="1" t="e">
        <f t="shared" si="8"/>
        <v>#DIV/0!</v>
      </c>
      <c r="Y11" s="1" t="e">
        <f t="shared" si="9"/>
        <v>#DIV/0!</v>
      </c>
      <c r="Z11" s="1" t="e">
        <f t="shared" si="10"/>
        <v>#DIV/0!</v>
      </c>
      <c r="AA11" s="1">
        <f t="shared" si="11"/>
        <v>0</v>
      </c>
      <c r="AB11" s="1"/>
      <c r="AC11" s="3">
        <v>2030</v>
      </c>
      <c r="AD11" s="1" t="e">
        <f t="shared" si="12"/>
        <v>#DIV/0!</v>
      </c>
      <c r="AE11" s="1" t="e">
        <f t="shared" si="13"/>
        <v>#DIV/0!</v>
      </c>
      <c r="AF11" s="1" t="e">
        <f t="shared" si="14"/>
        <v>#DIV/0!</v>
      </c>
      <c r="AG11" s="1">
        <f t="shared" si="15"/>
        <v>0</v>
      </c>
      <c r="AH11" s="1"/>
      <c r="AI11" s="3">
        <v>2030</v>
      </c>
      <c r="AJ11" s="1" t="e">
        <f t="shared" si="16"/>
        <v>#DIV/0!</v>
      </c>
      <c r="AK11" s="1" t="e">
        <f t="shared" si="17"/>
        <v>#DIV/0!</v>
      </c>
      <c r="AL11" s="1" t="e">
        <f t="shared" si="18"/>
        <v>#DIV/0!</v>
      </c>
      <c r="AM11" s="1">
        <f t="shared" si="19"/>
        <v>0</v>
      </c>
    </row>
    <row r="12" spans="11:39" x14ac:dyDescent="0.3">
      <c r="K12">
        <v>2031</v>
      </c>
      <c r="L12" s="1" t="e">
        <f t="shared" si="0"/>
        <v>#DIV/0!</v>
      </c>
      <c r="M12" s="1" t="e">
        <f t="shared" si="1"/>
        <v>#DIV/0!</v>
      </c>
      <c r="N12" s="1" t="e">
        <f t="shared" si="2"/>
        <v>#DIV/0!</v>
      </c>
      <c r="O12" s="1">
        <f t="shared" si="3"/>
        <v>0</v>
      </c>
      <c r="Q12">
        <v>2031</v>
      </c>
      <c r="R12" s="1" t="e">
        <f t="shared" si="4"/>
        <v>#DIV/0!</v>
      </c>
      <c r="S12" s="1" t="e">
        <f t="shared" si="5"/>
        <v>#DIV/0!</v>
      </c>
      <c r="T12" s="1" t="e">
        <f t="shared" si="6"/>
        <v>#DIV/0!</v>
      </c>
      <c r="U12" s="1">
        <f t="shared" si="7"/>
        <v>0</v>
      </c>
      <c r="V12" s="1"/>
      <c r="W12" s="3">
        <v>2031</v>
      </c>
      <c r="X12" s="1" t="e">
        <f t="shared" si="8"/>
        <v>#DIV/0!</v>
      </c>
      <c r="Y12" s="1" t="e">
        <f t="shared" si="9"/>
        <v>#DIV/0!</v>
      </c>
      <c r="Z12" s="1" t="e">
        <f t="shared" si="10"/>
        <v>#DIV/0!</v>
      </c>
      <c r="AA12" s="1">
        <f t="shared" si="11"/>
        <v>0</v>
      </c>
      <c r="AB12" s="1"/>
      <c r="AC12" s="3">
        <v>2031</v>
      </c>
      <c r="AD12" s="1" t="e">
        <f t="shared" si="12"/>
        <v>#DIV/0!</v>
      </c>
      <c r="AE12" s="1" t="e">
        <f t="shared" si="13"/>
        <v>#DIV/0!</v>
      </c>
      <c r="AF12" s="1" t="e">
        <f t="shared" si="14"/>
        <v>#DIV/0!</v>
      </c>
      <c r="AG12" s="1">
        <f t="shared" si="15"/>
        <v>0</v>
      </c>
      <c r="AH12" s="1"/>
      <c r="AI12" s="3">
        <v>2031</v>
      </c>
      <c r="AJ12" s="1" t="e">
        <f t="shared" si="16"/>
        <v>#DIV/0!</v>
      </c>
      <c r="AK12" s="1" t="e">
        <f t="shared" si="17"/>
        <v>#DIV/0!</v>
      </c>
      <c r="AL12" s="1" t="e">
        <f t="shared" si="18"/>
        <v>#DIV/0!</v>
      </c>
      <c r="AM12" s="1">
        <f t="shared" si="19"/>
        <v>0</v>
      </c>
    </row>
    <row r="13" spans="11:39" x14ac:dyDescent="0.3">
      <c r="K13">
        <v>2032</v>
      </c>
      <c r="L13" s="1" t="e">
        <f t="shared" si="0"/>
        <v>#DIV/0!</v>
      </c>
      <c r="M13" s="1" t="e">
        <f t="shared" si="1"/>
        <v>#DIV/0!</v>
      </c>
      <c r="N13" s="1" t="e">
        <f t="shared" si="2"/>
        <v>#DIV/0!</v>
      </c>
      <c r="O13" s="1">
        <f t="shared" si="3"/>
        <v>0</v>
      </c>
      <c r="Q13">
        <v>2032</v>
      </c>
      <c r="R13" s="1" t="e">
        <f t="shared" si="4"/>
        <v>#DIV/0!</v>
      </c>
      <c r="S13" s="1" t="e">
        <f t="shared" si="5"/>
        <v>#DIV/0!</v>
      </c>
      <c r="T13" s="1" t="e">
        <f t="shared" si="6"/>
        <v>#DIV/0!</v>
      </c>
      <c r="U13" s="1">
        <f t="shared" si="7"/>
        <v>0</v>
      </c>
      <c r="V13" s="1"/>
      <c r="W13" s="3">
        <v>2032</v>
      </c>
      <c r="X13" s="1" t="e">
        <f t="shared" si="8"/>
        <v>#DIV/0!</v>
      </c>
      <c r="Y13" s="1" t="e">
        <f t="shared" si="9"/>
        <v>#DIV/0!</v>
      </c>
      <c r="Z13" s="1" t="e">
        <f t="shared" si="10"/>
        <v>#DIV/0!</v>
      </c>
      <c r="AA13" s="1">
        <f t="shared" si="11"/>
        <v>0</v>
      </c>
      <c r="AB13" s="1"/>
      <c r="AC13" s="3">
        <v>2032</v>
      </c>
      <c r="AD13" s="1" t="e">
        <f t="shared" si="12"/>
        <v>#DIV/0!</v>
      </c>
      <c r="AE13" s="1" t="e">
        <f t="shared" si="13"/>
        <v>#DIV/0!</v>
      </c>
      <c r="AF13" s="1" t="e">
        <f t="shared" si="14"/>
        <v>#DIV/0!</v>
      </c>
      <c r="AG13" s="1">
        <f t="shared" si="15"/>
        <v>0</v>
      </c>
      <c r="AH13" s="1"/>
      <c r="AI13" s="3">
        <v>2032</v>
      </c>
      <c r="AJ13" s="1" t="e">
        <f t="shared" si="16"/>
        <v>#DIV/0!</v>
      </c>
      <c r="AK13" s="1" t="e">
        <f t="shared" si="17"/>
        <v>#DIV/0!</v>
      </c>
      <c r="AL13" s="1" t="e">
        <f t="shared" si="18"/>
        <v>#DIV/0!</v>
      </c>
      <c r="AM13" s="1">
        <f t="shared" si="19"/>
        <v>0</v>
      </c>
    </row>
    <row r="14" spans="11:39" x14ac:dyDescent="0.3">
      <c r="K14">
        <v>2033</v>
      </c>
      <c r="L14" s="1" t="e">
        <f t="shared" si="0"/>
        <v>#DIV/0!</v>
      </c>
      <c r="M14" s="1" t="e">
        <f t="shared" si="1"/>
        <v>#DIV/0!</v>
      </c>
      <c r="N14" s="1" t="e">
        <f t="shared" si="2"/>
        <v>#DIV/0!</v>
      </c>
      <c r="O14" s="1">
        <f t="shared" si="3"/>
        <v>0</v>
      </c>
      <c r="Q14">
        <v>2033</v>
      </c>
      <c r="R14" s="1" t="e">
        <f t="shared" si="4"/>
        <v>#DIV/0!</v>
      </c>
      <c r="S14" s="1" t="e">
        <f t="shared" si="5"/>
        <v>#DIV/0!</v>
      </c>
      <c r="T14" s="1" t="e">
        <f t="shared" si="6"/>
        <v>#DIV/0!</v>
      </c>
      <c r="U14" s="1">
        <f t="shared" si="7"/>
        <v>0</v>
      </c>
      <c r="V14" s="1"/>
      <c r="W14" s="3">
        <v>2033</v>
      </c>
      <c r="X14" s="1" t="e">
        <f t="shared" si="8"/>
        <v>#DIV/0!</v>
      </c>
      <c r="Y14" s="1" t="e">
        <f t="shared" si="9"/>
        <v>#DIV/0!</v>
      </c>
      <c r="Z14" s="1" t="e">
        <f t="shared" si="10"/>
        <v>#DIV/0!</v>
      </c>
      <c r="AA14" s="1">
        <f t="shared" si="11"/>
        <v>0</v>
      </c>
      <c r="AB14" s="1"/>
      <c r="AC14" s="3">
        <v>2033</v>
      </c>
      <c r="AD14" s="1" t="e">
        <f t="shared" si="12"/>
        <v>#DIV/0!</v>
      </c>
      <c r="AE14" s="1" t="e">
        <f t="shared" si="13"/>
        <v>#DIV/0!</v>
      </c>
      <c r="AF14" s="1" t="e">
        <f t="shared" si="14"/>
        <v>#DIV/0!</v>
      </c>
      <c r="AG14" s="1">
        <f t="shared" si="15"/>
        <v>0</v>
      </c>
      <c r="AH14" s="1"/>
      <c r="AI14" s="3">
        <v>2033</v>
      </c>
      <c r="AJ14" s="1" t="e">
        <f t="shared" si="16"/>
        <v>#DIV/0!</v>
      </c>
      <c r="AK14" s="1" t="e">
        <f t="shared" si="17"/>
        <v>#DIV/0!</v>
      </c>
      <c r="AL14" s="1" t="e">
        <f t="shared" si="18"/>
        <v>#DIV/0!</v>
      </c>
      <c r="AM14" s="1">
        <f t="shared" si="19"/>
        <v>0</v>
      </c>
    </row>
    <row r="15" spans="11:39" x14ac:dyDescent="0.3">
      <c r="K15">
        <v>2034</v>
      </c>
      <c r="L15" s="1" t="e">
        <f t="shared" si="0"/>
        <v>#DIV/0!</v>
      </c>
      <c r="M15" s="1" t="e">
        <f t="shared" si="1"/>
        <v>#DIV/0!</v>
      </c>
      <c r="N15" s="1" t="e">
        <f t="shared" si="2"/>
        <v>#DIV/0!</v>
      </c>
      <c r="O15" s="1">
        <f t="shared" si="3"/>
        <v>0</v>
      </c>
      <c r="Q15">
        <v>2034</v>
      </c>
      <c r="R15" s="1" t="e">
        <f t="shared" si="4"/>
        <v>#DIV/0!</v>
      </c>
      <c r="S15" s="1" t="e">
        <f t="shared" si="5"/>
        <v>#DIV/0!</v>
      </c>
      <c r="T15" s="1" t="e">
        <f t="shared" si="6"/>
        <v>#DIV/0!</v>
      </c>
      <c r="U15" s="1">
        <f t="shared" si="7"/>
        <v>0</v>
      </c>
      <c r="V15" s="1"/>
      <c r="W15" s="3">
        <v>2034</v>
      </c>
      <c r="X15" s="1" t="e">
        <f t="shared" si="8"/>
        <v>#DIV/0!</v>
      </c>
      <c r="Y15" s="1" t="e">
        <f t="shared" si="9"/>
        <v>#DIV/0!</v>
      </c>
      <c r="Z15" s="1" t="e">
        <f t="shared" si="10"/>
        <v>#DIV/0!</v>
      </c>
      <c r="AA15" s="1">
        <f t="shared" si="11"/>
        <v>0</v>
      </c>
      <c r="AB15" s="1"/>
      <c r="AC15" s="3">
        <v>2034</v>
      </c>
      <c r="AD15" s="1" t="e">
        <f t="shared" si="12"/>
        <v>#DIV/0!</v>
      </c>
      <c r="AE15" s="1" t="e">
        <f t="shared" si="13"/>
        <v>#DIV/0!</v>
      </c>
      <c r="AF15" s="1" t="e">
        <f t="shared" si="14"/>
        <v>#DIV/0!</v>
      </c>
      <c r="AG15" s="1">
        <f t="shared" si="15"/>
        <v>0</v>
      </c>
      <c r="AH15" s="1"/>
      <c r="AI15" s="3">
        <v>2034</v>
      </c>
      <c r="AJ15" s="1" t="e">
        <f t="shared" si="16"/>
        <v>#DIV/0!</v>
      </c>
      <c r="AK15" s="1" t="e">
        <f t="shared" si="17"/>
        <v>#DIV/0!</v>
      </c>
      <c r="AL15" s="1" t="e">
        <f t="shared" si="18"/>
        <v>#DIV/0!</v>
      </c>
      <c r="AM15" s="1">
        <f t="shared" si="19"/>
        <v>0</v>
      </c>
    </row>
    <row r="16" spans="11:39" x14ac:dyDescent="0.3">
      <c r="K16">
        <v>2035</v>
      </c>
      <c r="L16" s="1" t="e">
        <f t="shared" si="0"/>
        <v>#DIV/0!</v>
      </c>
      <c r="M16" s="1" t="e">
        <f t="shared" si="1"/>
        <v>#DIV/0!</v>
      </c>
      <c r="N16" s="1" t="e">
        <f t="shared" si="2"/>
        <v>#DIV/0!</v>
      </c>
      <c r="O16" s="1">
        <f t="shared" si="3"/>
        <v>0</v>
      </c>
      <c r="Q16">
        <v>2035</v>
      </c>
      <c r="R16" s="1" t="e">
        <f t="shared" si="4"/>
        <v>#DIV/0!</v>
      </c>
      <c r="S16" s="1" t="e">
        <f t="shared" si="5"/>
        <v>#DIV/0!</v>
      </c>
      <c r="T16" s="1" t="e">
        <f t="shared" si="6"/>
        <v>#DIV/0!</v>
      </c>
      <c r="U16" s="1">
        <f t="shared" si="7"/>
        <v>0</v>
      </c>
      <c r="V16" s="1"/>
      <c r="W16" s="3">
        <v>2035</v>
      </c>
      <c r="X16" s="1" t="e">
        <f t="shared" si="8"/>
        <v>#DIV/0!</v>
      </c>
      <c r="Y16" s="1" t="e">
        <f t="shared" si="9"/>
        <v>#DIV/0!</v>
      </c>
      <c r="Z16" s="1" t="e">
        <f t="shared" si="10"/>
        <v>#DIV/0!</v>
      </c>
      <c r="AA16" s="1">
        <f t="shared" si="11"/>
        <v>0</v>
      </c>
      <c r="AB16" s="1"/>
      <c r="AC16" s="3">
        <v>2035</v>
      </c>
      <c r="AD16" s="1" t="e">
        <f t="shared" si="12"/>
        <v>#DIV/0!</v>
      </c>
      <c r="AE16" s="1" t="e">
        <f t="shared" si="13"/>
        <v>#DIV/0!</v>
      </c>
      <c r="AF16" s="1" t="e">
        <f t="shared" si="14"/>
        <v>#DIV/0!</v>
      </c>
      <c r="AG16" s="1">
        <f t="shared" si="15"/>
        <v>0</v>
      </c>
      <c r="AH16" s="1"/>
      <c r="AI16" s="3">
        <v>2035</v>
      </c>
      <c r="AJ16" s="1" t="e">
        <f t="shared" si="16"/>
        <v>#DIV/0!</v>
      </c>
      <c r="AK16" s="1" t="e">
        <f t="shared" si="17"/>
        <v>#DIV/0!</v>
      </c>
      <c r="AL16" s="1" t="e">
        <f t="shared" si="18"/>
        <v>#DIV/0!</v>
      </c>
      <c r="AM16" s="1">
        <f t="shared" si="19"/>
        <v>0</v>
      </c>
    </row>
    <row r="17" spans="11:39" x14ac:dyDescent="0.3">
      <c r="K17">
        <v>2036</v>
      </c>
      <c r="L17" s="1" t="e">
        <f t="shared" si="0"/>
        <v>#DIV/0!</v>
      </c>
      <c r="M17" s="1" t="e">
        <f t="shared" si="1"/>
        <v>#DIV/0!</v>
      </c>
      <c r="N17" s="1" t="e">
        <f t="shared" si="2"/>
        <v>#DIV/0!</v>
      </c>
      <c r="O17" s="1">
        <f t="shared" si="3"/>
        <v>0</v>
      </c>
      <c r="Q17">
        <v>2036</v>
      </c>
      <c r="R17" s="1" t="e">
        <f t="shared" si="4"/>
        <v>#DIV/0!</v>
      </c>
      <c r="S17" s="1" t="e">
        <f t="shared" si="5"/>
        <v>#DIV/0!</v>
      </c>
      <c r="T17" s="1" t="e">
        <f t="shared" si="6"/>
        <v>#DIV/0!</v>
      </c>
      <c r="U17" s="1">
        <f t="shared" si="7"/>
        <v>0</v>
      </c>
      <c r="V17" s="1"/>
      <c r="W17" s="3">
        <v>2036</v>
      </c>
      <c r="X17" s="1" t="e">
        <f t="shared" si="8"/>
        <v>#DIV/0!</v>
      </c>
      <c r="Y17" s="1" t="e">
        <f t="shared" si="9"/>
        <v>#DIV/0!</v>
      </c>
      <c r="Z17" s="1" t="e">
        <f t="shared" si="10"/>
        <v>#DIV/0!</v>
      </c>
      <c r="AA17" s="1">
        <f t="shared" si="11"/>
        <v>0</v>
      </c>
      <c r="AB17" s="1"/>
      <c r="AC17" s="3">
        <v>2036</v>
      </c>
      <c r="AD17" s="1" t="e">
        <f t="shared" si="12"/>
        <v>#DIV/0!</v>
      </c>
      <c r="AE17" s="1" t="e">
        <f t="shared" si="13"/>
        <v>#DIV/0!</v>
      </c>
      <c r="AF17" s="1" t="e">
        <f t="shared" si="14"/>
        <v>#DIV/0!</v>
      </c>
      <c r="AG17" s="1">
        <f t="shared" si="15"/>
        <v>0</v>
      </c>
      <c r="AH17" s="1"/>
      <c r="AI17" s="3">
        <v>2036</v>
      </c>
      <c r="AJ17" s="1" t="e">
        <f t="shared" si="16"/>
        <v>#DIV/0!</v>
      </c>
      <c r="AK17" s="1" t="e">
        <f t="shared" si="17"/>
        <v>#DIV/0!</v>
      </c>
      <c r="AL17" s="1" t="e">
        <f t="shared" si="18"/>
        <v>#DIV/0!</v>
      </c>
      <c r="AM17" s="1">
        <f t="shared" si="19"/>
        <v>0</v>
      </c>
    </row>
    <row r="18" spans="11:39" x14ac:dyDescent="0.3">
      <c r="K18">
        <v>2037</v>
      </c>
      <c r="L18" s="1" t="e">
        <f t="shared" si="0"/>
        <v>#DIV/0!</v>
      </c>
      <c r="M18" s="1" t="e">
        <f t="shared" si="1"/>
        <v>#DIV/0!</v>
      </c>
      <c r="N18" s="1" t="e">
        <f t="shared" si="2"/>
        <v>#DIV/0!</v>
      </c>
      <c r="O18" s="1">
        <f t="shared" si="3"/>
        <v>0</v>
      </c>
      <c r="Q18">
        <v>2037</v>
      </c>
      <c r="R18" s="1" t="e">
        <f t="shared" si="4"/>
        <v>#DIV/0!</v>
      </c>
      <c r="S18" s="1" t="e">
        <f t="shared" si="5"/>
        <v>#DIV/0!</v>
      </c>
      <c r="T18" s="1" t="e">
        <f t="shared" si="6"/>
        <v>#DIV/0!</v>
      </c>
      <c r="U18" s="1">
        <f t="shared" si="7"/>
        <v>0</v>
      </c>
      <c r="V18" s="1"/>
      <c r="W18" s="3">
        <v>2037</v>
      </c>
      <c r="X18" s="1" t="e">
        <f t="shared" si="8"/>
        <v>#DIV/0!</v>
      </c>
      <c r="Y18" s="1" t="e">
        <f t="shared" si="9"/>
        <v>#DIV/0!</v>
      </c>
      <c r="Z18" s="1" t="e">
        <f t="shared" si="10"/>
        <v>#DIV/0!</v>
      </c>
      <c r="AA18" s="1">
        <f t="shared" si="11"/>
        <v>0</v>
      </c>
      <c r="AB18" s="1"/>
      <c r="AC18" s="3">
        <v>2037</v>
      </c>
      <c r="AD18" s="1" t="e">
        <f t="shared" si="12"/>
        <v>#DIV/0!</v>
      </c>
      <c r="AE18" s="1" t="e">
        <f t="shared" si="13"/>
        <v>#DIV/0!</v>
      </c>
      <c r="AF18" s="1" t="e">
        <f t="shared" si="14"/>
        <v>#DIV/0!</v>
      </c>
      <c r="AG18" s="1">
        <f t="shared" si="15"/>
        <v>0</v>
      </c>
      <c r="AH18" s="1"/>
      <c r="AI18" s="3">
        <v>2037</v>
      </c>
      <c r="AJ18" s="1" t="e">
        <f t="shared" si="16"/>
        <v>#DIV/0!</v>
      </c>
      <c r="AK18" s="1" t="e">
        <f t="shared" si="17"/>
        <v>#DIV/0!</v>
      </c>
      <c r="AL18" s="1" t="e">
        <f t="shared" si="18"/>
        <v>#DIV/0!</v>
      </c>
      <c r="AM18" s="1">
        <f t="shared" si="19"/>
        <v>0</v>
      </c>
    </row>
    <row r="19" spans="11:39" x14ac:dyDescent="0.3">
      <c r="K19">
        <v>2038</v>
      </c>
      <c r="L19" s="1" t="e">
        <f t="shared" si="0"/>
        <v>#DIV/0!</v>
      </c>
      <c r="M19" s="1" t="e">
        <f t="shared" si="1"/>
        <v>#DIV/0!</v>
      </c>
      <c r="N19" s="1" t="e">
        <f t="shared" si="2"/>
        <v>#DIV/0!</v>
      </c>
      <c r="O19" s="1">
        <f t="shared" si="3"/>
        <v>0</v>
      </c>
      <c r="Q19">
        <v>2038</v>
      </c>
      <c r="R19" s="1" t="e">
        <f t="shared" si="4"/>
        <v>#DIV/0!</v>
      </c>
      <c r="S19" s="1" t="e">
        <f t="shared" si="5"/>
        <v>#DIV/0!</v>
      </c>
      <c r="T19" s="1" t="e">
        <f t="shared" si="6"/>
        <v>#DIV/0!</v>
      </c>
      <c r="U19" s="1">
        <f t="shared" si="7"/>
        <v>0</v>
      </c>
      <c r="V19" s="1"/>
      <c r="W19" s="3">
        <v>2038</v>
      </c>
      <c r="X19" s="1" t="e">
        <f t="shared" si="8"/>
        <v>#DIV/0!</v>
      </c>
      <c r="Y19" s="1" t="e">
        <f t="shared" si="9"/>
        <v>#DIV/0!</v>
      </c>
      <c r="Z19" s="1" t="e">
        <f t="shared" si="10"/>
        <v>#DIV/0!</v>
      </c>
      <c r="AA19" s="1">
        <f t="shared" si="11"/>
        <v>0</v>
      </c>
      <c r="AB19" s="1"/>
      <c r="AC19" s="3">
        <v>2038</v>
      </c>
      <c r="AD19" s="1" t="e">
        <f t="shared" si="12"/>
        <v>#DIV/0!</v>
      </c>
      <c r="AE19" s="1" t="e">
        <f t="shared" si="13"/>
        <v>#DIV/0!</v>
      </c>
      <c r="AF19" s="1" t="e">
        <f t="shared" si="14"/>
        <v>#DIV/0!</v>
      </c>
      <c r="AG19" s="1">
        <f t="shared" si="15"/>
        <v>0</v>
      </c>
      <c r="AH19" s="1"/>
      <c r="AI19" s="3">
        <v>2038</v>
      </c>
      <c r="AJ19" s="1" t="e">
        <f t="shared" si="16"/>
        <v>#DIV/0!</v>
      </c>
      <c r="AK19" s="1" t="e">
        <f t="shared" si="17"/>
        <v>#DIV/0!</v>
      </c>
      <c r="AL19" s="1" t="e">
        <f t="shared" si="18"/>
        <v>#DIV/0!</v>
      </c>
      <c r="AM19" s="1">
        <f t="shared" si="19"/>
        <v>0</v>
      </c>
    </row>
    <row r="20" spans="11:39" x14ac:dyDescent="0.3">
      <c r="K20">
        <v>2039</v>
      </c>
      <c r="L20" s="1" t="e">
        <f t="shared" si="0"/>
        <v>#DIV/0!</v>
      </c>
      <c r="M20" s="1" t="e">
        <f t="shared" si="1"/>
        <v>#DIV/0!</v>
      </c>
      <c r="N20" s="1" t="e">
        <f t="shared" si="2"/>
        <v>#DIV/0!</v>
      </c>
      <c r="O20" s="1">
        <f t="shared" si="3"/>
        <v>0</v>
      </c>
      <c r="Q20">
        <v>2039</v>
      </c>
      <c r="R20" s="1" t="e">
        <f t="shared" si="4"/>
        <v>#DIV/0!</v>
      </c>
      <c r="S20" s="1" t="e">
        <f t="shared" si="5"/>
        <v>#DIV/0!</v>
      </c>
      <c r="T20" s="1" t="e">
        <f t="shared" si="6"/>
        <v>#DIV/0!</v>
      </c>
      <c r="U20" s="1">
        <f t="shared" si="7"/>
        <v>0</v>
      </c>
      <c r="V20" s="1"/>
      <c r="W20" s="3">
        <v>2039</v>
      </c>
      <c r="X20" s="1" t="e">
        <f t="shared" si="8"/>
        <v>#DIV/0!</v>
      </c>
      <c r="Y20" s="1" t="e">
        <f t="shared" si="9"/>
        <v>#DIV/0!</v>
      </c>
      <c r="Z20" s="1" t="e">
        <f t="shared" si="10"/>
        <v>#DIV/0!</v>
      </c>
      <c r="AA20" s="1">
        <f t="shared" si="11"/>
        <v>0</v>
      </c>
      <c r="AB20" s="1"/>
      <c r="AC20" s="3">
        <v>2039</v>
      </c>
      <c r="AD20" s="1" t="e">
        <f t="shared" si="12"/>
        <v>#DIV/0!</v>
      </c>
      <c r="AE20" s="1" t="e">
        <f t="shared" si="13"/>
        <v>#DIV/0!</v>
      </c>
      <c r="AF20" s="1" t="e">
        <f t="shared" si="14"/>
        <v>#DIV/0!</v>
      </c>
      <c r="AG20" s="1">
        <f t="shared" si="15"/>
        <v>0</v>
      </c>
      <c r="AH20" s="1"/>
      <c r="AI20" s="3">
        <v>2039</v>
      </c>
      <c r="AJ20" s="1" t="e">
        <f t="shared" si="16"/>
        <v>#DIV/0!</v>
      </c>
      <c r="AK20" s="1" t="e">
        <f t="shared" si="17"/>
        <v>#DIV/0!</v>
      </c>
      <c r="AL20" s="1" t="e">
        <f t="shared" si="18"/>
        <v>#DIV/0!</v>
      </c>
      <c r="AM20" s="1">
        <f t="shared" si="19"/>
        <v>0</v>
      </c>
    </row>
    <row r="21" spans="11:39" x14ac:dyDescent="0.3">
      <c r="K21">
        <v>2040</v>
      </c>
      <c r="L21" s="1" t="e">
        <f t="shared" si="0"/>
        <v>#DIV/0!</v>
      </c>
      <c r="M21" s="1" t="e">
        <f t="shared" si="1"/>
        <v>#DIV/0!</v>
      </c>
      <c r="N21" s="1" t="e">
        <f t="shared" si="2"/>
        <v>#DIV/0!</v>
      </c>
      <c r="O21" s="1">
        <f t="shared" si="3"/>
        <v>0</v>
      </c>
      <c r="Q21">
        <v>2040</v>
      </c>
      <c r="R21" s="1" t="e">
        <f t="shared" si="4"/>
        <v>#DIV/0!</v>
      </c>
      <c r="S21" s="1" t="e">
        <f t="shared" si="5"/>
        <v>#DIV/0!</v>
      </c>
      <c r="T21" s="1" t="e">
        <f t="shared" si="6"/>
        <v>#DIV/0!</v>
      </c>
      <c r="U21" s="1">
        <f t="shared" si="7"/>
        <v>0</v>
      </c>
      <c r="V21" s="1"/>
      <c r="W21" s="3">
        <v>2040</v>
      </c>
      <c r="X21" s="1" t="e">
        <f t="shared" si="8"/>
        <v>#DIV/0!</v>
      </c>
      <c r="Y21" s="1" t="e">
        <f t="shared" si="9"/>
        <v>#DIV/0!</v>
      </c>
      <c r="Z21" s="1" t="e">
        <f t="shared" si="10"/>
        <v>#DIV/0!</v>
      </c>
      <c r="AA21" s="1">
        <f t="shared" si="11"/>
        <v>0</v>
      </c>
      <c r="AB21" s="1"/>
      <c r="AC21" s="3">
        <v>2040</v>
      </c>
      <c r="AD21" s="1" t="e">
        <f t="shared" si="12"/>
        <v>#DIV/0!</v>
      </c>
      <c r="AE21" s="1" t="e">
        <f t="shared" si="13"/>
        <v>#DIV/0!</v>
      </c>
      <c r="AF21" s="1" t="e">
        <f t="shared" si="14"/>
        <v>#DIV/0!</v>
      </c>
      <c r="AG21" s="1">
        <f t="shared" si="15"/>
        <v>0</v>
      </c>
      <c r="AH21" s="1"/>
      <c r="AI21" s="3">
        <v>2040</v>
      </c>
      <c r="AJ21" s="1" t="e">
        <f t="shared" si="16"/>
        <v>#DIV/0!</v>
      </c>
      <c r="AK21" s="1" t="e">
        <f t="shared" si="17"/>
        <v>#DIV/0!</v>
      </c>
      <c r="AL21" s="1" t="e">
        <f t="shared" si="18"/>
        <v>#DIV/0!</v>
      </c>
      <c r="AM21" s="1">
        <f t="shared" si="19"/>
        <v>0</v>
      </c>
    </row>
    <row r="22" spans="11:39" x14ac:dyDescent="0.3">
      <c r="K22">
        <v>2041</v>
      </c>
      <c r="L22" s="1" t="e">
        <f t="shared" si="0"/>
        <v>#DIV/0!</v>
      </c>
      <c r="M22" s="1" t="e">
        <f t="shared" si="1"/>
        <v>#DIV/0!</v>
      </c>
      <c r="N22" s="1" t="e">
        <f t="shared" si="2"/>
        <v>#DIV/0!</v>
      </c>
      <c r="O22" s="1">
        <f t="shared" si="3"/>
        <v>0</v>
      </c>
      <c r="Q22">
        <v>2041</v>
      </c>
      <c r="R22" s="1" t="e">
        <f t="shared" si="4"/>
        <v>#DIV/0!</v>
      </c>
      <c r="S22" s="1" t="e">
        <f t="shared" si="5"/>
        <v>#DIV/0!</v>
      </c>
      <c r="T22" s="1" t="e">
        <f t="shared" si="6"/>
        <v>#DIV/0!</v>
      </c>
      <c r="U22" s="1">
        <f t="shared" si="7"/>
        <v>0</v>
      </c>
      <c r="V22" s="1"/>
      <c r="W22" s="3">
        <v>2041</v>
      </c>
      <c r="X22" s="1" t="e">
        <f t="shared" si="8"/>
        <v>#DIV/0!</v>
      </c>
      <c r="Y22" s="1" t="e">
        <f t="shared" si="9"/>
        <v>#DIV/0!</v>
      </c>
      <c r="Z22" s="1" t="e">
        <f t="shared" si="10"/>
        <v>#DIV/0!</v>
      </c>
      <c r="AA22" s="1">
        <f t="shared" si="11"/>
        <v>0</v>
      </c>
      <c r="AB22" s="1"/>
      <c r="AC22" s="3">
        <v>2041</v>
      </c>
      <c r="AD22" s="1" t="e">
        <f t="shared" si="12"/>
        <v>#DIV/0!</v>
      </c>
      <c r="AE22" s="1" t="e">
        <f t="shared" si="13"/>
        <v>#DIV/0!</v>
      </c>
      <c r="AF22" s="1" t="e">
        <f t="shared" si="14"/>
        <v>#DIV/0!</v>
      </c>
      <c r="AG22" s="1">
        <f t="shared" si="15"/>
        <v>0</v>
      </c>
      <c r="AH22" s="1"/>
      <c r="AI22" s="3">
        <v>2041</v>
      </c>
      <c r="AJ22" s="1" t="e">
        <f t="shared" si="16"/>
        <v>#DIV/0!</v>
      </c>
      <c r="AK22" s="1" t="e">
        <f t="shared" si="17"/>
        <v>#DIV/0!</v>
      </c>
      <c r="AL22" s="1" t="e">
        <f t="shared" si="18"/>
        <v>#DIV/0!</v>
      </c>
      <c r="AM22" s="1">
        <f t="shared" si="19"/>
        <v>0</v>
      </c>
    </row>
    <row r="23" spans="11:39" x14ac:dyDescent="0.3">
      <c r="K23">
        <v>2042</v>
      </c>
      <c r="L23" s="1" t="e">
        <f t="shared" si="0"/>
        <v>#DIV/0!</v>
      </c>
      <c r="M23" s="1" t="e">
        <f t="shared" si="1"/>
        <v>#DIV/0!</v>
      </c>
      <c r="N23" s="1" t="e">
        <f t="shared" si="2"/>
        <v>#DIV/0!</v>
      </c>
      <c r="O23" s="1">
        <f t="shared" si="3"/>
        <v>0</v>
      </c>
      <c r="Q23">
        <v>2042</v>
      </c>
      <c r="R23" s="1" t="e">
        <f t="shared" si="4"/>
        <v>#DIV/0!</v>
      </c>
      <c r="S23" s="1" t="e">
        <f t="shared" si="5"/>
        <v>#DIV/0!</v>
      </c>
      <c r="T23" s="1" t="e">
        <f t="shared" si="6"/>
        <v>#DIV/0!</v>
      </c>
      <c r="U23" s="1">
        <f t="shared" si="7"/>
        <v>0</v>
      </c>
      <c r="V23" s="1"/>
      <c r="W23" s="3">
        <v>2042</v>
      </c>
      <c r="X23" s="1" t="e">
        <f t="shared" si="8"/>
        <v>#DIV/0!</v>
      </c>
      <c r="Y23" s="1" t="e">
        <f t="shared" si="9"/>
        <v>#DIV/0!</v>
      </c>
      <c r="Z23" s="1" t="e">
        <f t="shared" si="10"/>
        <v>#DIV/0!</v>
      </c>
      <c r="AA23" s="1">
        <f t="shared" si="11"/>
        <v>0</v>
      </c>
      <c r="AB23" s="1"/>
      <c r="AC23" s="3">
        <v>2042</v>
      </c>
      <c r="AD23" s="1" t="e">
        <f t="shared" si="12"/>
        <v>#DIV/0!</v>
      </c>
      <c r="AE23" s="1" t="e">
        <f t="shared" si="13"/>
        <v>#DIV/0!</v>
      </c>
      <c r="AF23" s="1" t="e">
        <f t="shared" si="14"/>
        <v>#DIV/0!</v>
      </c>
      <c r="AG23" s="1">
        <f t="shared" si="15"/>
        <v>0</v>
      </c>
      <c r="AH23" s="1"/>
      <c r="AI23" s="3">
        <v>2042</v>
      </c>
      <c r="AJ23" s="1" t="e">
        <f t="shared" si="16"/>
        <v>#DIV/0!</v>
      </c>
      <c r="AK23" s="1" t="e">
        <f t="shared" si="17"/>
        <v>#DIV/0!</v>
      </c>
      <c r="AL23" s="1" t="e">
        <f t="shared" si="18"/>
        <v>#DIV/0!</v>
      </c>
      <c r="AM23" s="1">
        <f t="shared" si="19"/>
        <v>0</v>
      </c>
    </row>
    <row r="24" spans="11:39" x14ac:dyDescent="0.3">
      <c r="K24">
        <v>2043</v>
      </c>
      <c r="L24" s="1" t="e">
        <f t="shared" si="0"/>
        <v>#DIV/0!</v>
      </c>
      <c r="M24" s="1" t="e">
        <f t="shared" si="1"/>
        <v>#DIV/0!</v>
      </c>
      <c r="N24" s="1" t="e">
        <f t="shared" si="2"/>
        <v>#DIV/0!</v>
      </c>
      <c r="O24" s="1">
        <f t="shared" si="3"/>
        <v>0</v>
      </c>
      <c r="Q24">
        <v>2043</v>
      </c>
      <c r="R24" s="1" t="e">
        <f t="shared" si="4"/>
        <v>#DIV/0!</v>
      </c>
      <c r="S24" s="1" t="e">
        <f t="shared" si="5"/>
        <v>#DIV/0!</v>
      </c>
      <c r="T24" s="1" t="e">
        <f t="shared" si="6"/>
        <v>#DIV/0!</v>
      </c>
      <c r="U24" s="1">
        <f t="shared" si="7"/>
        <v>0</v>
      </c>
      <c r="V24" s="1"/>
      <c r="W24" s="3">
        <v>2043</v>
      </c>
      <c r="X24" s="1" t="e">
        <f t="shared" si="8"/>
        <v>#DIV/0!</v>
      </c>
      <c r="Y24" s="1" t="e">
        <f t="shared" si="9"/>
        <v>#DIV/0!</v>
      </c>
      <c r="Z24" s="1" t="e">
        <f t="shared" si="10"/>
        <v>#DIV/0!</v>
      </c>
      <c r="AA24" s="1">
        <f t="shared" si="11"/>
        <v>0</v>
      </c>
      <c r="AB24" s="1"/>
      <c r="AC24" s="3">
        <v>2043</v>
      </c>
      <c r="AD24" s="1" t="e">
        <f t="shared" si="12"/>
        <v>#DIV/0!</v>
      </c>
      <c r="AE24" s="1" t="e">
        <f t="shared" si="13"/>
        <v>#DIV/0!</v>
      </c>
      <c r="AF24" s="1" t="e">
        <f t="shared" si="14"/>
        <v>#DIV/0!</v>
      </c>
      <c r="AG24" s="1">
        <f t="shared" si="15"/>
        <v>0</v>
      </c>
      <c r="AH24" s="1"/>
      <c r="AI24" s="3">
        <v>2043</v>
      </c>
      <c r="AJ24" s="1" t="e">
        <f t="shared" si="16"/>
        <v>#DIV/0!</v>
      </c>
      <c r="AK24" s="1" t="e">
        <f t="shared" si="17"/>
        <v>#DIV/0!</v>
      </c>
      <c r="AL24" s="1" t="e">
        <f t="shared" si="18"/>
        <v>#DIV/0!</v>
      </c>
      <c r="AM24" s="1">
        <f t="shared" si="19"/>
        <v>0</v>
      </c>
    </row>
    <row r="25" spans="11:39" x14ac:dyDescent="0.3">
      <c r="K25">
        <v>2044</v>
      </c>
      <c r="L25" s="1" t="e">
        <f t="shared" si="0"/>
        <v>#DIV/0!</v>
      </c>
      <c r="M25" s="1" t="e">
        <f t="shared" si="1"/>
        <v>#DIV/0!</v>
      </c>
      <c r="N25" s="1" t="e">
        <f t="shared" si="2"/>
        <v>#DIV/0!</v>
      </c>
      <c r="O25" s="1">
        <f t="shared" si="3"/>
        <v>0</v>
      </c>
      <c r="Q25">
        <v>2044</v>
      </c>
      <c r="R25" s="1" t="e">
        <f t="shared" si="4"/>
        <v>#DIV/0!</v>
      </c>
      <c r="S25" s="1" t="e">
        <f t="shared" si="5"/>
        <v>#DIV/0!</v>
      </c>
      <c r="T25" s="1" t="e">
        <f t="shared" si="6"/>
        <v>#DIV/0!</v>
      </c>
      <c r="U25" s="1">
        <f t="shared" si="7"/>
        <v>0</v>
      </c>
      <c r="V25" s="1"/>
      <c r="W25" s="3">
        <v>2044</v>
      </c>
      <c r="X25" s="1" t="e">
        <f t="shared" si="8"/>
        <v>#DIV/0!</v>
      </c>
      <c r="Y25" s="1" t="e">
        <f t="shared" si="9"/>
        <v>#DIV/0!</v>
      </c>
      <c r="Z25" s="1" t="e">
        <f t="shared" si="10"/>
        <v>#DIV/0!</v>
      </c>
      <c r="AA25" s="1">
        <f t="shared" si="11"/>
        <v>0</v>
      </c>
      <c r="AB25" s="1"/>
      <c r="AC25" s="3">
        <v>2044</v>
      </c>
      <c r="AD25" s="1" t="e">
        <f t="shared" si="12"/>
        <v>#DIV/0!</v>
      </c>
      <c r="AE25" s="1" t="e">
        <f t="shared" si="13"/>
        <v>#DIV/0!</v>
      </c>
      <c r="AF25" s="1" t="e">
        <f t="shared" si="14"/>
        <v>#DIV/0!</v>
      </c>
      <c r="AG25" s="1">
        <f t="shared" si="15"/>
        <v>0</v>
      </c>
      <c r="AH25" s="1"/>
      <c r="AI25" s="3">
        <v>2044</v>
      </c>
      <c r="AJ25" s="1" t="e">
        <f t="shared" si="16"/>
        <v>#DIV/0!</v>
      </c>
      <c r="AK25" s="1" t="e">
        <f t="shared" si="17"/>
        <v>#DIV/0!</v>
      </c>
      <c r="AL25" s="1" t="e">
        <f t="shared" si="18"/>
        <v>#DIV/0!</v>
      </c>
      <c r="AM25" s="1">
        <f t="shared" si="19"/>
        <v>0</v>
      </c>
    </row>
    <row r="26" spans="11:39" x14ac:dyDescent="0.3">
      <c r="K26">
        <v>2045</v>
      </c>
      <c r="L26" s="1" t="e">
        <f t="shared" si="0"/>
        <v>#DIV/0!</v>
      </c>
      <c r="M26" s="1" t="e">
        <f t="shared" si="1"/>
        <v>#DIV/0!</v>
      </c>
      <c r="N26" s="1" t="e">
        <f t="shared" si="2"/>
        <v>#DIV/0!</v>
      </c>
      <c r="O26" s="1">
        <f t="shared" si="3"/>
        <v>0</v>
      </c>
      <c r="Q26">
        <v>2045</v>
      </c>
      <c r="R26" s="1" t="e">
        <f t="shared" si="4"/>
        <v>#DIV/0!</v>
      </c>
      <c r="S26" s="1" t="e">
        <f t="shared" si="5"/>
        <v>#DIV/0!</v>
      </c>
      <c r="T26" s="1" t="e">
        <f t="shared" si="6"/>
        <v>#DIV/0!</v>
      </c>
      <c r="U26" s="1">
        <f t="shared" si="7"/>
        <v>0</v>
      </c>
      <c r="V26" s="1"/>
      <c r="W26" s="3">
        <v>2045</v>
      </c>
      <c r="X26" s="1" t="e">
        <f t="shared" si="8"/>
        <v>#DIV/0!</v>
      </c>
      <c r="Y26" s="1" t="e">
        <f t="shared" si="9"/>
        <v>#DIV/0!</v>
      </c>
      <c r="Z26" s="1" t="e">
        <f t="shared" si="10"/>
        <v>#DIV/0!</v>
      </c>
      <c r="AA26" s="1">
        <f t="shared" si="11"/>
        <v>0</v>
      </c>
      <c r="AB26" s="1"/>
      <c r="AC26" s="3">
        <v>2045</v>
      </c>
      <c r="AD26" s="1" t="e">
        <f t="shared" si="12"/>
        <v>#DIV/0!</v>
      </c>
      <c r="AE26" s="1" t="e">
        <f t="shared" si="13"/>
        <v>#DIV/0!</v>
      </c>
      <c r="AF26" s="1" t="e">
        <f t="shared" si="14"/>
        <v>#DIV/0!</v>
      </c>
      <c r="AG26" s="1">
        <f t="shared" si="15"/>
        <v>0</v>
      </c>
      <c r="AH26" s="1"/>
      <c r="AI26" s="3">
        <v>2045</v>
      </c>
      <c r="AJ26" s="1" t="e">
        <f t="shared" si="16"/>
        <v>#DIV/0!</v>
      </c>
      <c r="AK26" s="1" t="e">
        <f t="shared" si="17"/>
        <v>#DIV/0!</v>
      </c>
      <c r="AL26" s="1" t="e">
        <f t="shared" si="18"/>
        <v>#DIV/0!</v>
      </c>
      <c r="AM26" s="1">
        <f t="shared" si="19"/>
        <v>0</v>
      </c>
    </row>
    <row r="27" spans="11:39" x14ac:dyDescent="0.3">
      <c r="K27">
        <v>2046</v>
      </c>
      <c r="L27" s="1" t="e">
        <f t="shared" si="0"/>
        <v>#DIV/0!</v>
      </c>
      <c r="M27" s="1" t="e">
        <f t="shared" si="1"/>
        <v>#DIV/0!</v>
      </c>
      <c r="N27" s="1" t="e">
        <f t="shared" si="2"/>
        <v>#DIV/0!</v>
      </c>
      <c r="O27" s="1">
        <f t="shared" si="3"/>
        <v>0</v>
      </c>
      <c r="Q27">
        <v>2046</v>
      </c>
      <c r="R27" s="1" t="e">
        <f t="shared" si="4"/>
        <v>#DIV/0!</v>
      </c>
      <c r="S27" s="1" t="e">
        <f t="shared" si="5"/>
        <v>#DIV/0!</v>
      </c>
      <c r="T27" s="1" t="e">
        <f t="shared" si="6"/>
        <v>#DIV/0!</v>
      </c>
      <c r="U27" s="1">
        <f t="shared" si="7"/>
        <v>0</v>
      </c>
      <c r="V27" s="1"/>
      <c r="W27" s="3">
        <v>2046</v>
      </c>
      <c r="X27" s="1" t="e">
        <f t="shared" si="8"/>
        <v>#DIV/0!</v>
      </c>
      <c r="Y27" s="1" t="e">
        <f t="shared" si="9"/>
        <v>#DIV/0!</v>
      </c>
      <c r="Z27" s="1" t="e">
        <f t="shared" si="10"/>
        <v>#DIV/0!</v>
      </c>
      <c r="AA27" s="1">
        <f t="shared" si="11"/>
        <v>0</v>
      </c>
      <c r="AB27" s="1"/>
      <c r="AC27" s="3">
        <v>2046</v>
      </c>
      <c r="AD27" s="1" t="e">
        <f t="shared" si="12"/>
        <v>#DIV/0!</v>
      </c>
      <c r="AE27" s="1" t="e">
        <f t="shared" si="13"/>
        <v>#DIV/0!</v>
      </c>
      <c r="AF27" s="1" t="e">
        <f t="shared" si="14"/>
        <v>#DIV/0!</v>
      </c>
      <c r="AG27" s="1">
        <f t="shared" si="15"/>
        <v>0</v>
      </c>
      <c r="AH27" s="1"/>
      <c r="AI27" s="3">
        <v>2046</v>
      </c>
      <c r="AJ27" s="1" t="e">
        <f t="shared" si="16"/>
        <v>#DIV/0!</v>
      </c>
      <c r="AK27" s="1" t="e">
        <f t="shared" si="17"/>
        <v>#DIV/0!</v>
      </c>
      <c r="AL27" s="1" t="e">
        <f t="shared" si="18"/>
        <v>#DIV/0!</v>
      </c>
      <c r="AM27" s="1">
        <f t="shared" si="19"/>
        <v>0</v>
      </c>
    </row>
    <row r="28" spans="11:39" x14ac:dyDescent="0.3">
      <c r="K28">
        <v>2047</v>
      </c>
      <c r="L28" s="1" t="e">
        <f t="shared" si="0"/>
        <v>#DIV/0!</v>
      </c>
      <c r="M28" s="1" t="e">
        <f t="shared" si="1"/>
        <v>#DIV/0!</v>
      </c>
      <c r="N28" s="1" t="e">
        <f t="shared" si="2"/>
        <v>#DIV/0!</v>
      </c>
      <c r="O28" s="1">
        <f t="shared" si="3"/>
        <v>0</v>
      </c>
      <c r="Q28">
        <v>2047</v>
      </c>
      <c r="R28" s="1" t="e">
        <f t="shared" si="4"/>
        <v>#DIV/0!</v>
      </c>
      <c r="S28" s="1" t="e">
        <f t="shared" si="5"/>
        <v>#DIV/0!</v>
      </c>
      <c r="T28" s="1" t="e">
        <f t="shared" si="6"/>
        <v>#DIV/0!</v>
      </c>
      <c r="U28" s="1">
        <f t="shared" si="7"/>
        <v>0</v>
      </c>
      <c r="V28" s="1"/>
      <c r="W28" s="3">
        <v>2047</v>
      </c>
      <c r="X28" s="1" t="e">
        <f t="shared" si="8"/>
        <v>#DIV/0!</v>
      </c>
      <c r="Y28" s="1" t="e">
        <f t="shared" si="9"/>
        <v>#DIV/0!</v>
      </c>
      <c r="Z28" s="1" t="e">
        <f t="shared" si="10"/>
        <v>#DIV/0!</v>
      </c>
      <c r="AA28" s="1">
        <f t="shared" si="11"/>
        <v>0</v>
      </c>
      <c r="AB28" s="1"/>
      <c r="AC28" s="3">
        <v>2047</v>
      </c>
      <c r="AD28" s="1" t="e">
        <f t="shared" si="12"/>
        <v>#DIV/0!</v>
      </c>
      <c r="AE28" s="1" t="e">
        <f t="shared" si="13"/>
        <v>#DIV/0!</v>
      </c>
      <c r="AF28" s="1" t="e">
        <f t="shared" si="14"/>
        <v>#DIV/0!</v>
      </c>
      <c r="AG28" s="1">
        <f t="shared" si="15"/>
        <v>0</v>
      </c>
      <c r="AH28" s="1"/>
      <c r="AI28" s="3">
        <v>2047</v>
      </c>
      <c r="AJ28" s="1" t="e">
        <f t="shared" si="16"/>
        <v>#DIV/0!</v>
      </c>
      <c r="AK28" s="1" t="e">
        <f t="shared" si="17"/>
        <v>#DIV/0!</v>
      </c>
      <c r="AL28" s="1" t="e">
        <f t="shared" si="18"/>
        <v>#DIV/0!</v>
      </c>
      <c r="AM28" s="1">
        <f t="shared" si="19"/>
        <v>0</v>
      </c>
    </row>
    <row r="29" spans="11:39" x14ac:dyDescent="0.3">
      <c r="K29">
        <v>2048</v>
      </c>
      <c r="L29" s="1" t="e">
        <f t="shared" si="0"/>
        <v>#DIV/0!</v>
      </c>
      <c r="M29" s="1" t="e">
        <f t="shared" si="1"/>
        <v>#DIV/0!</v>
      </c>
      <c r="N29" s="1" t="e">
        <f t="shared" si="2"/>
        <v>#DIV/0!</v>
      </c>
      <c r="O29" s="1">
        <f t="shared" si="3"/>
        <v>0</v>
      </c>
      <c r="Q29">
        <v>2048</v>
      </c>
      <c r="R29" s="1" t="e">
        <f t="shared" si="4"/>
        <v>#DIV/0!</v>
      </c>
      <c r="S29" s="1" t="e">
        <f t="shared" si="5"/>
        <v>#DIV/0!</v>
      </c>
      <c r="T29" s="1" t="e">
        <f t="shared" si="6"/>
        <v>#DIV/0!</v>
      </c>
      <c r="U29" s="1">
        <f t="shared" si="7"/>
        <v>0</v>
      </c>
      <c r="V29" s="1"/>
      <c r="W29" s="3">
        <v>2048</v>
      </c>
      <c r="X29" s="1" t="e">
        <f t="shared" si="8"/>
        <v>#DIV/0!</v>
      </c>
      <c r="Y29" s="1" t="e">
        <f t="shared" si="9"/>
        <v>#DIV/0!</v>
      </c>
      <c r="Z29" s="1" t="e">
        <f t="shared" si="10"/>
        <v>#DIV/0!</v>
      </c>
      <c r="AA29" s="1">
        <f t="shared" si="11"/>
        <v>0</v>
      </c>
      <c r="AB29" s="1"/>
      <c r="AC29" s="3">
        <v>2048</v>
      </c>
      <c r="AD29" s="1" t="e">
        <f t="shared" si="12"/>
        <v>#DIV/0!</v>
      </c>
      <c r="AE29" s="1" t="e">
        <f t="shared" si="13"/>
        <v>#DIV/0!</v>
      </c>
      <c r="AF29" s="1" t="e">
        <f t="shared" si="14"/>
        <v>#DIV/0!</v>
      </c>
      <c r="AG29" s="1">
        <f t="shared" si="15"/>
        <v>0</v>
      </c>
      <c r="AH29" s="1"/>
      <c r="AI29" s="3">
        <v>2048</v>
      </c>
      <c r="AJ29" s="1" t="e">
        <f t="shared" si="16"/>
        <v>#DIV/0!</v>
      </c>
      <c r="AK29" s="1" t="e">
        <f t="shared" si="17"/>
        <v>#DIV/0!</v>
      </c>
      <c r="AL29" s="1" t="e">
        <f t="shared" si="18"/>
        <v>#DIV/0!</v>
      </c>
      <c r="AM29" s="1">
        <f t="shared" si="19"/>
        <v>0</v>
      </c>
    </row>
    <row r="30" spans="11:39" x14ac:dyDescent="0.3">
      <c r="K30">
        <v>2049</v>
      </c>
      <c r="L30" s="1" t="e">
        <f t="shared" si="0"/>
        <v>#DIV/0!</v>
      </c>
      <c r="M30" s="1" t="e">
        <f t="shared" si="1"/>
        <v>#DIV/0!</v>
      </c>
      <c r="N30" s="1" t="e">
        <f t="shared" si="2"/>
        <v>#DIV/0!</v>
      </c>
      <c r="O30" s="1">
        <f t="shared" si="3"/>
        <v>0</v>
      </c>
      <c r="Q30">
        <v>2049</v>
      </c>
      <c r="R30" s="1" t="e">
        <f t="shared" si="4"/>
        <v>#DIV/0!</v>
      </c>
      <c r="S30" s="1" t="e">
        <f t="shared" si="5"/>
        <v>#DIV/0!</v>
      </c>
      <c r="T30" s="1" t="e">
        <f t="shared" si="6"/>
        <v>#DIV/0!</v>
      </c>
      <c r="U30" s="1">
        <f t="shared" si="7"/>
        <v>0</v>
      </c>
      <c r="V30" s="1"/>
      <c r="W30" s="3">
        <v>2049</v>
      </c>
      <c r="X30" s="1" t="e">
        <f t="shared" si="8"/>
        <v>#DIV/0!</v>
      </c>
      <c r="Y30" s="1" t="e">
        <f t="shared" si="9"/>
        <v>#DIV/0!</v>
      </c>
      <c r="Z30" s="1" t="e">
        <f t="shared" si="10"/>
        <v>#DIV/0!</v>
      </c>
      <c r="AA30" s="1">
        <f t="shared" si="11"/>
        <v>0</v>
      </c>
      <c r="AB30" s="1"/>
      <c r="AC30" s="3">
        <v>2049</v>
      </c>
      <c r="AD30" s="1" t="e">
        <f t="shared" si="12"/>
        <v>#DIV/0!</v>
      </c>
      <c r="AE30" s="1" t="e">
        <f t="shared" si="13"/>
        <v>#DIV/0!</v>
      </c>
      <c r="AF30" s="1" t="e">
        <f t="shared" si="14"/>
        <v>#DIV/0!</v>
      </c>
      <c r="AG30" s="1">
        <f t="shared" si="15"/>
        <v>0</v>
      </c>
      <c r="AH30" s="1"/>
      <c r="AI30" s="3">
        <v>2049</v>
      </c>
      <c r="AJ30" s="1" t="e">
        <f t="shared" si="16"/>
        <v>#DIV/0!</v>
      </c>
      <c r="AK30" s="1" t="e">
        <f t="shared" si="17"/>
        <v>#DIV/0!</v>
      </c>
      <c r="AL30" s="1" t="e">
        <f t="shared" si="18"/>
        <v>#DIV/0!</v>
      </c>
      <c r="AM30" s="1">
        <f t="shared" si="19"/>
        <v>0</v>
      </c>
    </row>
    <row r="31" spans="11:39" x14ac:dyDescent="0.3">
      <c r="K31">
        <v>2050</v>
      </c>
      <c r="L31" s="1" t="e">
        <f t="shared" si="0"/>
        <v>#DIV/0!</v>
      </c>
      <c r="M31" s="1" t="e">
        <f t="shared" si="1"/>
        <v>#DIV/0!</v>
      </c>
      <c r="N31" s="1" t="e">
        <f t="shared" si="2"/>
        <v>#DIV/0!</v>
      </c>
      <c r="O31" s="1">
        <f t="shared" si="3"/>
        <v>0</v>
      </c>
      <c r="Q31">
        <v>2050</v>
      </c>
      <c r="R31" s="1" t="e">
        <f t="shared" si="4"/>
        <v>#DIV/0!</v>
      </c>
      <c r="S31" s="1" t="e">
        <f t="shared" si="5"/>
        <v>#DIV/0!</v>
      </c>
      <c r="T31" s="1" t="e">
        <f t="shared" si="6"/>
        <v>#DIV/0!</v>
      </c>
      <c r="U31" s="1">
        <f t="shared" si="7"/>
        <v>0</v>
      </c>
      <c r="V31" s="1"/>
      <c r="W31" s="3">
        <v>2050</v>
      </c>
      <c r="X31" s="1" t="e">
        <f t="shared" si="8"/>
        <v>#DIV/0!</v>
      </c>
      <c r="Y31" s="1" t="e">
        <f t="shared" si="9"/>
        <v>#DIV/0!</v>
      </c>
      <c r="Z31" s="1" t="e">
        <f t="shared" si="10"/>
        <v>#DIV/0!</v>
      </c>
      <c r="AA31" s="1">
        <f t="shared" si="11"/>
        <v>0</v>
      </c>
      <c r="AB31" s="1"/>
      <c r="AC31" s="3">
        <v>2050</v>
      </c>
      <c r="AD31" s="1" t="e">
        <f t="shared" si="12"/>
        <v>#DIV/0!</v>
      </c>
      <c r="AE31" s="1" t="e">
        <f t="shared" si="13"/>
        <v>#DIV/0!</v>
      </c>
      <c r="AF31" s="1" t="e">
        <f t="shared" si="14"/>
        <v>#DIV/0!</v>
      </c>
      <c r="AG31" s="1">
        <f t="shared" si="15"/>
        <v>0</v>
      </c>
      <c r="AH31" s="1"/>
      <c r="AI31" s="3">
        <v>2050</v>
      </c>
      <c r="AJ31" s="1" t="e">
        <f t="shared" si="16"/>
        <v>#DIV/0!</v>
      </c>
      <c r="AK31" s="1" t="e">
        <f t="shared" si="17"/>
        <v>#DIV/0!</v>
      </c>
      <c r="AL31" s="1" t="e">
        <f t="shared" si="18"/>
        <v>#DIV/0!</v>
      </c>
      <c r="AM31" s="1">
        <f t="shared" si="19"/>
        <v>0</v>
      </c>
    </row>
    <row r="32" spans="11:39" x14ac:dyDescent="0.3">
      <c r="K32">
        <v>2051</v>
      </c>
      <c r="L32" s="1" t="e">
        <f t="shared" si="0"/>
        <v>#DIV/0!</v>
      </c>
      <c r="M32" s="1" t="e">
        <f t="shared" si="1"/>
        <v>#DIV/0!</v>
      </c>
      <c r="N32" s="1" t="e">
        <f t="shared" si="2"/>
        <v>#DIV/0!</v>
      </c>
      <c r="O32" s="1">
        <f t="shared" si="3"/>
        <v>0</v>
      </c>
      <c r="P32" s="2"/>
      <c r="Q32">
        <v>2051</v>
      </c>
      <c r="R32" s="1" t="e">
        <f t="shared" si="4"/>
        <v>#DIV/0!</v>
      </c>
      <c r="S32" s="1" t="e">
        <f t="shared" si="5"/>
        <v>#DIV/0!</v>
      </c>
      <c r="T32" s="1" t="e">
        <f t="shared" si="6"/>
        <v>#DIV/0!</v>
      </c>
      <c r="U32" s="1">
        <f t="shared" si="7"/>
        <v>0</v>
      </c>
      <c r="V32" s="2"/>
      <c r="W32" s="3">
        <v>2051</v>
      </c>
      <c r="X32" s="1" t="e">
        <f t="shared" si="8"/>
        <v>#DIV/0!</v>
      </c>
      <c r="Y32" s="1" t="e">
        <f t="shared" si="9"/>
        <v>#DIV/0!</v>
      </c>
      <c r="Z32" s="1" t="e">
        <f t="shared" si="10"/>
        <v>#DIV/0!</v>
      </c>
      <c r="AA32" s="1">
        <f t="shared" si="11"/>
        <v>0</v>
      </c>
      <c r="AB32" s="2"/>
      <c r="AC32" s="3">
        <v>2051</v>
      </c>
      <c r="AD32" s="1" t="e">
        <f t="shared" si="12"/>
        <v>#DIV/0!</v>
      </c>
      <c r="AE32" s="1" t="e">
        <f t="shared" si="13"/>
        <v>#DIV/0!</v>
      </c>
      <c r="AF32" s="1" t="e">
        <f t="shared" si="14"/>
        <v>#DIV/0!</v>
      </c>
      <c r="AG32" s="1">
        <f t="shared" si="15"/>
        <v>0</v>
      </c>
      <c r="AH32" s="2"/>
      <c r="AI32" s="3">
        <v>2051</v>
      </c>
      <c r="AJ32" s="1" t="e">
        <f t="shared" si="16"/>
        <v>#DIV/0!</v>
      </c>
      <c r="AK32" s="1" t="e">
        <f t="shared" si="17"/>
        <v>#DIV/0!</v>
      </c>
      <c r="AL32" s="1" t="e">
        <f t="shared" si="18"/>
        <v>#DIV/0!</v>
      </c>
      <c r="AM32" s="1">
        <f t="shared" si="19"/>
        <v>0</v>
      </c>
    </row>
    <row r="33" spans="11:39" x14ac:dyDescent="0.3">
      <c r="K33">
        <v>2052</v>
      </c>
      <c r="L33" s="1" t="e">
        <f t="shared" si="0"/>
        <v>#DIV/0!</v>
      </c>
      <c r="M33" s="1" t="e">
        <f t="shared" si="1"/>
        <v>#DIV/0!</v>
      </c>
      <c r="N33" s="1" t="e">
        <f t="shared" si="2"/>
        <v>#DIV/0!</v>
      </c>
      <c r="O33" s="1">
        <f t="shared" si="3"/>
        <v>0</v>
      </c>
      <c r="Q33">
        <v>2052</v>
      </c>
      <c r="R33" s="1" t="e">
        <f t="shared" si="4"/>
        <v>#DIV/0!</v>
      </c>
      <c r="S33" s="1" t="e">
        <f t="shared" si="5"/>
        <v>#DIV/0!</v>
      </c>
      <c r="T33" s="1" t="e">
        <f t="shared" si="6"/>
        <v>#DIV/0!</v>
      </c>
      <c r="U33" s="1">
        <f t="shared" si="7"/>
        <v>0</v>
      </c>
      <c r="V33" s="1"/>
      <c r="W33" s="3">
        <v>2052</v>
      </c>
      <c r="X33" s="1" t="e">
        <f t="shared" si="8"/>
        <v>#DIV/0!</v>
      </c>
      <c r="Y33" s="1" t="e">
        <f t="shared" si="9"/>
        <v>#DIV/0!</v>
      </c>
      <c r="Z33" s="1" t="e">
        <f t="shared" si="10"/>
        <v>#DIV/0!</v>
      </c>
      <c r="AA33" s="1">
        <f t="shared" si="11"/>
        <v>0</v>
      </c>
      <c r="AB33" s="1"/>
      <c r="AC33" s="3">
        <v>2052</v>
      </c>
      <c r="AD33" s="1" t="e">
        <f t="shared" si="12"/>
        <v>#DIV/0!</v>
      </c>
      <c r="AE33" s="1" t="e">
        <f t="shared" si="13"/>
        <v>#DIV/0!</v>
      </c>
      <c r="AF33" s="1" t="e">
        <f t="shared" si="14"/>
        <v>#DIV/0!</v>
      </c>
      <c r="AG33" s="1">
        <f t="shared" si="15"/>
        <v>0</v>
      </c>
      <c r="AH33" s="1"/>
      <c r="AI33" s="3">
        <v>2052</v>
      </c>
      <c r="AJ33" s="1" t="e">
        <f t="shared" si="16"/>
        <v>#DIV/0!</v>
      </c>
      <c r="AK33" s="1" t="e">
        <f t="shared" si="17"/>
        <v>#DIV/0!</v>
      </c>
      <c r="AL33" s="1" t="e">
        <f t="shared" si="18"/>
        <v>#DIV/0!</v>
      </c>
      <c r="AM33" s="1">
        <f t="shared" si="19"/>
        <v>0</v>
      </c>
    </row>
    <row r="34" spans="11:39" x14ac:dyDescent="0.3">
      <c r="K34">
        <v>2053</v>
      </c>
      <c r="L34" s="1" t="e">
        <f t="shared" si="0"/>
        <v>#DIV/0!</v>
      </c>
      <c r="M34" s="1" t="e">
        <f t="shared" si="1"/>
        <v>#DIV/0!</v>
      </c>
      <c r="N34" s="1" t="e">
        <f t="shared" si="2"/>
        <v>#DIV/0!</v>
      </c>
      <c r="O34" s="1">
        <f t="shared" si="3"/>
        <v>0</v>
      </c>
      <c r="Q34">
        <v>2053</v>
      </c>
      <c r="R34" s="1" t="e">
        <f t="shared" si="4"/>
        <v>#DIV/0!</v>
      </c>
      <c r="S34" s="1" t="e">
        <f t="shared" si="5"/>
        <v>#DIV/0!</v>
      </c>
      <c r="T34" s="1" t="e">
        <f t="shared" si="6"/>
        <v>#DIV/0!</v>
      </c>
      <c r="U34" s="1">
        <f t="shared" si="7"/>
        <v>0</v>
      </c>
      <c r="V34" s="1"/>
      <c r="W34" s="3">
        <v>2053</v>
      </c>
      <c r="X34" s="1" t="e">
        <f t="shared" si="8"/>
        <v>#DIV/0!</v>
      </c>
      <c r="Y34" s="1" t="e">
        <f t="shared" si="9"/>
        <v>#DIV/0!</v>
      </c>
      <c r="Z34" s="1" t="e">
        <f t="shared" si="10"/>
        <v>#DIV/0!</v>
      </c>
      <c r="AA34" s="1">
        <f t="shared" si="11"/>
        <v>0</v>
      </c>
      <c r="AB34" s="1"/>
      <c r="AC34" s="3">
        <v>2053</v>
      </c>
      <c r="AD34" s="1" t="e">
        <f t="shared" si="12"/>
        <v>#DIV/0!</v>
      </c>
      <c r="AE34" s="1" t="e">
        <f t="shared" si="13"/>
        <v>#DIV/0!</v>
      </c>
      <c r="AF34" s="1" t="e">
        <f t="shared" si="14"/>
        <v>#DIV/0!</v>
      </c>
      <c r="AG34" s="1">
        <f t="shared" si="15"/>
        <v>0</v>
      </c>
      <c r="AH34" s="1"/>
      <c r="AI34" s="3">
        <v>2053</v>
      </c>
      <c r="AJ34" s="1" t="e">
        <f t="shared" si="16"/>
        <v>#DIV/0!</v>
      </c>
      <c r="AK34" s="1" t="e">
        <f t="shared" si="17"/>
        <v>#DIV/0!</v>
      </c>
      <c r="AL34" s="1" t="e">
        <f t="shared" si="18"/>
        <v>#DIV/0!</v>
      </c>
      <c r="AM34" s="1">
        <f t="shared" si="19"/>
        <v>0</v>
      </c>
    </row>
    <row r="35" spans="11:39" x14ac:dyDescent="0.3">
      <c r="K35">
        <v>2054</v>
      </c>
      <c r="L35" s="1" t="e">
        <f t="shared" si="0"/>
        <v>#DIV/0!</v>
      </c>
      <c r="M35" s="1" t="e">
        <f t="shared" si="1"/>
        <v>#DIV/0!</v>
      </c>
      <c r="N35" s="1" t="e">
        <f t="shared" si="2"/>
        <v>#DIV/0!</v>
      </c>
      <c r="O35" s="1">
        <f t="shared" si="3"/>
        <v>0</v>
      </c>
      <c r="Q35">
        <v>2054</v>
      </c>
      <c r="R35" s="1" t="e">
        <f t="shared" si="4"/>
        <v>#DIV/0!</v>
      </c>
      <c r="S35" s="1" t="e">
        <f t="shared" si="5"/>
        <v>#DIV/0!</v>
      </c>
      <c r="T35" s="1" t="e">
        <f t="shared" si="6"/>
        <v>#DIV/0!</v>
      </c>
      <c r="U35" s="1">
        <f t="shared" si="7"/>
        <v>0</v>
      </c>
      <c r="V35" s="1"/>
      <c r="W35" s="3">
        <v>2054</v>
      </c>
      <c r="X35" s="1" t="e">
        <f t="shared" si="8"/>
        <v>#DIV/0!</v>
      </c>
      <c r="Y35" s="1" t="e">
        <f t="shared" si="9"/>
        <v>#DIV/0!</v>
      </c>
      <c r="Z35" s="1" t="e">
        <f t="shared" si="10"/>
        <v>#DIV/0!</v>
      </c>
      <c r="AA35" s="1">
        <f t="shared" si="11"/>
        <v>0</v>
      </c>
      <c r="AB35" s="1"/>
      <c r="AC35" s="3">
        <v>2054</v>
      </c>
      <c r="AD35" s="1" t="e">
        <f t="shared" si="12"/>
        <v>#DIV/0!</v>
      </c>
      <c r="AE35" s="1" t="e">
        <f t="shared" si="13"/>
        <v>#DIV/0!</v>
      </c>
      <c r="AF35" s="1" t="e">
        <f t="shared" si="14"/>
        <v>#DIV/0!</v>
      </c>
      <c r="AG35" s="1">
        <f t="shared" si="15"/>
        <v>0</v>
      </c>
      <c r="AH35" s="1"/>
      <c r="AI35" s="3">
        <v>2054</v>
      </c>
      <c r="AJ35" s="1" t="e">
        <f t="shared" si="16"/>
        <v>#DIV/0!</v>
      </c>
      <c r="AK35" s="1" t="e">
        <f t="shared" si="17"/>
        <v>#DIV/0!</v>
      </c>
      <c r="AL35" s="1" t="e">
        <f t="shared" si="18"/>
        <v>#DIV/0!</v>
      </c>
      <c r="AM35" s="1">
        <f t="shared" si="19"/>
        <v>0</v>
      </c>
    </row>
    <row r="36" spans="11:39" x14ac:dyDescent="0.3">
      <c r="K36">
        <v>2055</v>
      </c>
      <c r="L36" s="1" t="e">
        <f t="shared" si="0"/>
        <v>#DIV/0!</v>
      </c>
      <c r="M36" s="1" t="e">
        <f t="shared" si="1"/>
        <v>#DIV/0!</v>
      </c>
      <c r="N36" s="1" t="e">
        <f t="shared" si="2"/>
        <v>#DIV/0!</v>
      </c>
      <c r="O36" s="1">
        <f t="shared" si="3"/>
        <v>0</v>
      </c>
      <c r="Q36">
        <v>2055</v>
      </c>
      <c r="R36" s="1" t="e">
        <f t="shared" si="4"/>
        <v>#DIV/0!</v>
      </c>
      <c r="S36" s="1" t="e">
        <f t="shared" si="5"/>
        <v>#DIV/0!</v>
      </c>
      <c r="T36" s="1" t="e">
        <f t="shared" si="6"/>
        <v>#DIV/0!</v>
      </c>
      <c r="U36" s="1">
        <f t="shared" si="7"/>
        <v>0</v>
      </c>
      <c r="V36" s="1"/>
      <c r="W36" s="3">
        <v>2055</v>
      </c>
      <c r="X36" s="1" t="e">
        <f t="shared" si="8"/>
        <v>#DIV/0!</v>
      </c>
      <c r="Y36" s="1" t="e">
        <f t="shared" si="9"/>
        <v>#DIV/0!</v>
      </c>
      <c r="Z36" s="1" t="e">
        <f t="shared" si="10"/>
        <v>#DIV/0!</v>
      </c>
      <c r="AA36" s="1">
        <f t="shared" si="11"/>
        <v>0</v>
      </c>
      <c r="AB36" s="1"/>
      <c r="AC36" s="3">
        <v>2055</v>
      </c>
      <c r="AD36" s="1" t="e">
        <f t="shared" si="12"/>
        <v>#DIV/0!</v>
      </c>
      <c r="AE36" s="1" t="e">
        <f t="shared" si="13"/>
        <v>#DIV/0!</v>
      </c>
      <c r="AF36" s="1" t="e">
        <f t="shared" si="14"/>
        <v>#DIV/0!</v>
      </c>
      <c r="AG36" s="1">
        <f t="shared" si="15"/>
        <v>0</v>
      </c>
      <c r="AH36" s="1"/>
      <c r="AI36" s="3">
        <v>2055</v>
      </c>
      <c r="AJ36" s="1" t="e">
        <f t="shared" si="16"/>
        <v>#DIV/0!</v>
      </c>
      <c r="AK36" s="1" t="e">
        <f t="shared" si="17"/>
        <v>#DIV/0!</v>
      </c>
      <c r="AL36" s="1" t="e">
        <f t="shared" si="18"/>
        <v>#DIV/0!</v>
      </c>
      <c r="AM36" s="1">
        <f t="shared" si="19"/>
        <v>0</v>
      </c>
    </row>
    <row r="37" spans="11:39" x14ac:dyDescent="0.3">
      <c r="K37">
        <v>2056</v>
      </c>
      <c r="L37" s="1" t="e">
        <f t="shared" si="0"/>
        <v>#DIV/0!</v>
      </c>
      <c r="M37" s="1" t="e">
        <f t="shared" si="1"/>
        <v>#DIV/0!</v>
      </c>
      <c r="N37" s="1" t="e">
        <f t="shared" si="2"/>
        <v>#DIV/0!</v>
      </c>
      <c r="O37" s="1">
        <f t="shared" si="3"/>
        <v>0</v>
      </c>
      <c r="Q37">
        <v>2056</v>
      </c>
      <c r="R37" s="1" t="e">
        <f t="shared" si="4"/>
        <v>#DIV/0!</v>
      </c>
      <c r="S37" s="1" t="e">
        <f t="shared" si="5"/>
        <v>#DIV/0!</v>
      </c>
      <c r="T37" s="1" t="e">
        <f t="shared" si="6"/>
        <v>#DIV/0!</v>
      </c>
      <c r="U37" s="1">
        <f t="shared" si="7"/>
        <v>0</v>
      </c>
      <c r="V37" s="1"/>
      <c r="W37" s="3">
        <v>2056</v>
      </c>
      <c r="X37" s="1" t="e">
        <f t="shared" si="8"/>
        <v>#DIV/0!</v>
      </c>
      <c r="Y37" s="1" t="e">
        <f t="shared" si="9"/>
        <v>#DIV/0!</v>
      </c>
      <c r="Z37" s="1" t="e">
        <f t="shared" si="10"/>
        <v>#DIV/0!</v>
      </c>
      <c r="AA37" s="1">
        <f t="shared" si="11"/>
        <v>0</v>
      </c>
      <c r="AB37" s="1"/>
      <c r="AC37" s="3">
        <v>2056</v>
      </c>
      <c r="AD37" s="1" t="e">
        <f t="shared" si="12"/>
        <v>#DIV/0!</v>
      </c>
      <c r="AE37" s="1" t="e">
        <f t="shared" si="13"/>
        <v>#DIV/0!</v>
      </c>
      <c r="AF37" s="1" t="e">
        <f t="shared" si="14"/>
        <v>#DIV/0!</v>
      </c>
      <c r="AG37" s="1">
        <f t="shared" si="15"/>
        <v>0</v>
      </c>
      <c r="AH37" s="1"/>
      <c r="AI37" s="3">
        <v>2056</v>
      </c>
      <c r="AJ37" s="1" t="e">
        <f t="shared" si="16"/>
        <v>#DIV/0!</v>
      </c>
      <c r="AK37" s="1" t="e">
        <f t="shared" si="17"/>
        <v>#DIV/0!</v>
      </c>
      <c r="AL37" s="1" t="e">
        <f t="shared" si="18"/>
        <v>#DIV/0!</v>
      </c>
      <c r="AM37" s="1">
        <f t="shared" si="19"/>
        <v>0</v>
      </c>
    </row>
    <row r="38" spans="11:39" x14ac:dyDescent="0.3">
      <c r="K38">
        <v>2057</v>
      </c>
      <c r="L38" s="1" t="e">
        <f t="shared" si="0"/>
        <v>#DIV/0!</v>
      </c>
      <c r="M38" s="1" t="e">
        <f t="shared" si="1"/>
        <v>#DIV/0!</v>
      </c>
      <c r="N38" s="1" t="e">
        <f t="shared" si="2"/>
        <v>#DIV/0!</v>
      </c>
      <c r="O38" s="1">
        <f t="shared" si="3"/>
        <v>0</v>
      </c>
      <c r="Q38">
        <v>2057</v>
      </c>
      <c r="R38" s="1" t="e">
        <f t="shared" si="4"/>
        <v>#DIV/0!</v>
      </c>
      <c r="S38" s="1" t="e">
        <f t="shared" si="5"/>
        <v>#DIV/0!</v>
      </c>
      <c r="T38" s="1" t="e">
        <f t="shared" si="6"/>
        <v>#DIV/0!</v>
      </c>
      <c r="U38" s="1">
        <f t="shared" si="7"/>
        <v>0</v>
      </c>
      <c r="V38" s="1"/>
      <c r="W38" s="3">
        <v>2057</v>
      </c>
      <c r="X38" s="1" t="e">
        <f t="shared" si="8"/>
        <v>#DIV/0!</v>
      </c>
      <c r="Y38" s="1" t="e">
        <f t="shared" si="9"/>
        <v>#DIV/0!</v>
      </c>
      <c r="Z38" s="1" t="e">
        <f t="shared" si="10"/>
        <v>#DIV/0!</v>
      </c>
      <c r="AA38" s="1">
        <f t="shared" si="11"/>
        <v>0</v>
      </c>
      <c r="AB38" s="1"/>
      <c r="AC38" s="3">
        <v>2057</v>
      </c>
      <c r="AD38" s="1" t="e">
        <f t="shared" si="12"/>
        <v>#DIV/0!</v>
      </c>
      <c r="AE38" s="1" t="e">
        <f t="shared" si="13"/>
        <v>#DIV/0!</v>
      </c>
      <c r="AF38" s="1" t="e">
        <f t="shared" si="14"/>
        <v>#DIV/0!</v>
      </c>
      <c r="AG38" s="1">
        <f t="shared" si="15"/>
        <v>0</v>
      </c>
      <c r="AH38" s="1"/>
      <c r="AI38" s="3">
        <v>2057</v>
      </c>
      <c r="AJ38" s="1" t="e">
        <f t="shared" si="16"/>
        <v>#DIV/0!</v>
      </c>
      <c r="AK38" s="1" t="e">
        <f t="shared" si="17"/>
        <v>#DIV/0!</v>
      </c>
      <c r="AL38" s="1" t="e">
        <f t="shared" si="18"/>
        <v>#DIV/0!</v>
      </c>
      <c r="AM38" s="1">
        <f t="shared" si="19"/>
        <v>0</v>
      </c>
    </row>
    <row r="39" spans="11:39" x14ac:dyDescent="0.3">
      <c r="K39">
        <v>2058</v>
      </c>
      <c r="L39" s="1" t="e">
        <f t="shared" si="0"/>
        <v>#DIV/0!</v>
      </c>
      <c r="M39" s="1" t="e">
        <f t="shared" si="1"/>
        <v>#DIV/0!</v>
      </c>
      <c r="N39" s="1" t="e">
        <f t="shared" si="2"/>
        <v>#DIV/0!</v>
      </c>
      <c r="O39" s="1">
        <f t="shared" si="3"/>
        <v>0</v>
      </c>
      <c r="Q39">
        <v>2058</v>
      </c>
      <c r="R39" s="1" t="e">
        <f t="shared" si="4"/>
        <v>#DIV/0!</v>
      </c>
      <c r="S39" s="1" t="e">
        <f t="shared" si="5"/>
        <v>#DIV/0!</v>
      </c>
      <c r="T39" s="1" t="e">
        <f t="shared" si="6"/>
        <v>#DIV/0!</v>
      </c>
      <c r="U39" s="1">
        <f t="shared" si="7"/>
        <v>0</v>
      </c>
      <c r="V39" s="1"/>
      <c r="W39" s="3">
        <v>2058</v>
      </c>
      <c r="X39" s="1" t="e">
        <f t="shared" si="8"/>
        <v>#DIV/0!</v>
      </c>
      <c r="Y39" s="1" t="e">
        <f t="shared" si="9"/>
        <v>#DIV/0!</v>
      </c>
      <c r="Z39" s="1" t="e">
        <f t="shared" si="10"/>
        <v>#DIV/0!</v>
      </c>
      <c r="AA39" s="1">
        <f t="shared" si="11"/>
        <v>0</v>
      </c>
      <c r="AB39" s="1"/>
      <c r="AC39" s="3">
        <v>2058</v>
      </c>
      <c r="AD39" s="1" t="e">
        <f t="shared" si="12"/>
        <v>#DIV/0!</v>
      </c>
      <c r="AE39" s="1" t="e">
        <f t="shared" si="13"/>
        <v>#DIV/0!</v>
      </c>
      <c r="AF39" s="1" t="e">
        <f t="shared" si="14"/>
        <v>#DIV/0!</v>
      </c>
      <c r="AG39" s="1">
        <f t="shared" si="15"/>
        <v>0</v>
      </c>
      <c r="AH39" s="1"/>
      <c r="AI39" s="3">
        <v>2058</v>
      </c>
      <c r="AJ39" s="1" t="e">
        <f t="shared" si="16"/>
        <v>#DIV/0!</v>
      </c>
      <c r="AK39" s="1" t="e">
        <f t="shared" si="17"/>
        <v>#DIV/0!</v>
      </c>
      <c r="AL39" s="1" t="e">
        <f t="shared" si="18"/>
        <v>#DIV/0!</v>
      </c>
      <c r="AM39" s="1">
        <f t="shared" si="19"/>
        <v>0</v>
      </c>
    </row>
    <row r="40" spans="11:39" x14ac:dyDescent="0.3">
      <c r="K40">
        <v>2059</v>
      </c>
      <c r="L40" s="1" t="e">
        <f t="shared" si="0"/>
        <v>#DIV/0!</v>
      </c>
      <c r="M40" s="1" t="e">
        <f t="shared" si="1"/>
        <v>#DIV/0!</v>
      </c>
      <c r="N40" s="1" t="e">
        <f t="shared" si="2"/>
        <v>#DIV/0!</v>
      </c>
      <c r="O40" s="1">
        <f t="shared" si="3"/>
        <v>0</v>
      </c>
      <c r="Q40">
        <v>2059</v>
      </c>
      <c r="R40" s="1" t="e">
        <f t="shared" si="4"/>
        <v>#DIV/0!</v>
      </c>
      <c r="S40" s="1" t="e">
        <f t="shared" si="5"/>
        <v>#DIV/0!</v>
      </c>
      <c r="T40" s="1" t="e">
        <f t="shared" si="6"/>
        <v>#DIV/0!</v>
      </c>
      <c r="U40" s="1">
        <f t="shared" si="7"/>
        <v>0</v>
      </c>
      <c r="V40" s="1"/>
      <c r="W40" s="3">
        <v>2059</v>
      </c>
      <c r="X40" s="1" t="e">
        <f t="shared" si="8"/>
        <v>#DIV/0!</v>
      </c>
      <c r="Y40" s="1" t="e">
        <f t="shared" si="9"/>
        <v>#DIV/0!</v>
      </c>
      <c r="Z40" s="1" t="e">
        <f t="shared" si="10"/>
        <v>#DIV/0!</v>
      </c>
      <c r="AA40" s="1">
        <f t="shared" si="11"/>
        <v>0</v>
      </c>
      <c r="AB40" s="1"/>
      <c r="AC40" s="3">
        <v>2059</v>
      </c>
      <c r="AD40" s="1" t="e">
        <f t="shared" si="12"/>
        <v>#DIV/0!</v>
      </c>
      <c r="AE40" s="1" t="e">
        <f t="shared" si="13"/>
        <v>#DIV/0!</v>
      </c>
      <c r="AF40" s="1" t="e">
        <f t="shared" si="14"/>
        <v>#DIV/0!</v>
      </c>
      <c r="AG40" s="1">
        <f t="shared" si="15"/>
        <v>0</v>
      </c>
      <c r="AH40" s="1"/>
      <c r="AI40" s="3">
        <v>2059</v>
      </c>
      <c r="AJ40" s="1" t="e">
        <f t="shared" si="16"/>
        <v>#DIV/0!</v>
      </c>
      <c r="AK40" s="1" t="e">
        <f t="shared" si="17"/>
        <v>#DIV/0!</v>
      </c>
      <c r="AL40" s="1" t="e">
        <f t="shared" si="18"/>
        <v>#DIV/0!</v>
      </c>
      <c r="AM40" s="1">
        <f t="shared" si="19"/>
        <v>0</v>
      </c>
    </row>
    <row r="41" spans="11:39" x14ac:dyDescent="0.3">
      <c r="K41">
        <v>2060</v>
      </c>
      <c r="L41" s="1" t="e">
        <f t="shared" si="0"/>
        <v>#DIV/0!</v>
      </c>
      <c r="M41" s="1" t="e">
        <f t="shared" si="1"/>
        <v>#DIV/0!</v>
      </c>
      <c r="N41" s="1" t="e">
        <f t="shared" si="2"/>
        <v>#DIV/0!</v>
      </c>
      <c r="O41" s="1">
        <f t="shared" si="3"/>
        <v>0</v>
      </c>
      <c r="Q41">
        <v>2060</v>
      </c>
      <c r="R41" s="1" t="e">
        <f t="shared" si="4"/>
        <v>#DIV/0!</v>
      </c>
      <c r="S41" s="1" t="e">
        <f t="shared" si="5"/>
        <v>#DIV/0!</v>
      </c>
      <c r="T41" s="1" t="e">
        <f t="shared" si="6"/>
        <v>#DIV/0!</v>
      </c>
      <c r="U41" s="1">
        <f t="shared" si="7"/>
        <v>0</v>
      </c>
      <c r="V41" s="1"/>
      <c r="W41" s="3">
        <v>2060</v>
      </c>
      <c r="X41" s="1" t="e">
        <f t="shared" si="8"/>
        <v>#DIV/0!</v>
      </c>
      <c r="Y41" s="1" t="e">
        <f t="shared" si="9"/>
        <v>#DIV/0!</v>
      </c>
      <c r="Z41" s="1" t="e">
        <f t="shared" si="10"/>
        <v>#DIV/0!</v>
      </c>
      <c r="AA41" s="1">
        <f t="shared" si="11"/>
        <v>0</v>
      </c>
      <c r="AB41" s="1"/>
      <c r="AC41" s="3">
        <v>2060</v>
      </c>
      <c r="AD41" s="1" t="e">
        <f t="shared" si="12"/>
        <v>#DIV/0!</v>
      </c>
      <c r="AE41" s="1" t="e">
        <f t="shared" si="13"/>
        <v>#DIV/0!</v>
      </c>
      <c r="AF41" s="1" t="e">
        <f t="shared" si="14"/>
        <v>#DIV/0!</v>
      </c>
      <c r="AG41" s="1">
        <f t="shared" si="15"/>
        <v>0</v>
      </c>
      <c r="AH41" s="1"/>
      <c r="AI41" s="3">
        <v>2060</v>
      </c>
      <c r="AJ41" s="1" t="e">
        <f t="shared" si="16"/>
        <v>#DIV/0!</v>
      </c>
      <c r="AK41" s="1" t="e">
        <f t="shared" si="17"/>
        <v>#DIV/0!</v>
      </c>
      <c r="AL41" s="1" t="e">
        <f t="shared" si="18"/>
        <v>#DIV/0!</v>
      </c>
      <c r="AM41" s="1">
        <f t="shared" si="19"/>
        <v>0</v>
      </c>
    </row>
    <row r="42" spans="11:39" x14ac:dyDescent="0.3">
      <c r="L42" s="2" t="e">
        <f t="shared" ref="L42" si="20">AVERAGE(L2:L41)</f>
        <v>#DIV/0!</v>
      </c>
      <c r="M42" s="2" t="e">
        <f t="shared" ref="M42" si="21">AVERAGE(M2:M41)</f>
        <v>#DIV/0!</v>
      </c>
      <c r="N42" s="2" t="e">
        <f t="shared" ref="N42" si="22">AVERAGE(N2:N41)</f>
        <v>#DIV/0!</v>
      </c>
      <c r="O42" s="2">
        <f t="shared" ref="O42" si="23">AVERAGE(O2:O41)</f>
        <v>0</v>
      </c>
      <c r="P42" s="2"/>
      <c r="Q42" s="2"/>
      <c r="R42" s="2" t="e">
        <f t="shared" ref="R42" si="24">AVERAGE(R2:R41)</f>
        <v>#DIV/0!</v>
      </c>
      <c r="S42" s="2" t="e">
        <f t="shared" ref="S42:T42" si="25">AVERAGE(S2:S41)</f>
        <v>#DIV/0!</v>
      </c>
      <c r="T42" s="2" t="e">
        <f t="shared" si="25"/>
        <v>#DIV/0!</v>
      </c>
      <c r="U42" s="2">
        <f t="shared" ref="U42" si="26">AVERAGE(U2:U41)</f>
        <v>0</v>
      </c>
      <c r="V42" s="2"/>
      <c r="W42" s="2"/>
      <c r="X42" s="2" t="e">
        <f t="shared" ref="X42" si="27">AVERAGE(X2:X41)</f>
        <v>#DIV/0!</v>
      </c>
      <c r="Y42" s="2" t="e">
        <f t="shared" ref="Y42" si="28">AVERAGE(Y2:Y41)</f>
        <v>#DIV/0!</v>
      </c>
      <c r="Z42" s="2" t="e">
        <f t="shared" ref="Z42" si="29">AVERAGE(Z2:Z41)</f>
        <v>#DIV/0!</v>
      </c>
      <c r="AA42" s="2">
        <f t="shared" ref="AA42" si="30">AVERAGE(AA2:AA41)</f>
        <v>0</v>
      </c>
      <c r="AB42" s="2"/>
      <c r="AC42" s="2"/>
      <c r="AD42" s="2" t="e">
        <f t="shared" ref="AD42" si="31">AVERAGE(AD2:AD41)</f>
        <v>#DIV/0!</v>
      </c>
      <c r="AE42" s="2" t="e">
        <f t="shared" ref="AE42:AF42" si="32">AVERAGE(AE2:AE41)</f>
        <v>#DIV/0!</v>
      </c>
      <c r="AF42" s="2" t="e">
        <f t="shared" si="32"/>
        <v>#DIV/0!</v>
      </c>
      <c r="AG42" s="2">
        <f t="shared" ref="AG42" si="33">AVERAGE(AG2:AG41)</f>
        <v>0</v>
      </c>
      <c r="AH42" s="2"/>
      <c r="AI42" s="2"/>
      <c r="AJ42" s="2" t="e">
        <f>AVERAGE(AJ2:AJ41)</f>
        <v>#DIV/0!</v>
      </c>
      <c r="AK42" s="2" t="e">
        <f t="shared" ref="AK42:AM42" si="34">AVERAGE(AK2:AK41)</f>
        <v>#DIV/0!</v>
      </c>
      <c r="AL42" s="2" t="e">
        <f t="shared" si="34"/>
        <v>#DIV/0!</v>
      </c>
      <c r="AM42" s="2">
        <f t="shared" si="34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74CDE-992B-4C06-9704-A7E1177CD7CB}">
  <sheetPr codeName="Sheet76"/>
  <dimension ref="A1:AC9"/>
  <sheetViews>
    <sheetView tabSelected="1" workbookViewId="0">
      <selection activeCell="Q13" sqref="Q13"/>
    </sheetView>
  </sheetViews>
  <sheetFormatPr defaultRowHeight="14.4" x14ac:dyDescent="0.3"/>
  <cols>
    <col min="1" max="1" width="20" bestFit="1" customWidth="1"/>
  </cols>
  <sheetData>
    <row r="1" spans="1:29" x14ac:dyDescent="0.3">
      <c r="A1" t="s">
        <v>4</v>
      </c>
      <c r="B1" t="s">
        <v>0</v>
      </c>
      <c r="C1" t="s">
        <v>1</v>
      </c>
      <c r="D1" t="s">
        <v>2</v>
      </c>
      <c r="E1" t="s">
        <v>3</v>
      </c>
      <c r="G1" t="s">
        <v>6</v>
      </c>
      <c r="H1" t="s">
        <v>0</v>
      </c>
      <c r="I1" t="s">
        <v>1</v>
      </c>
      <c r="J1" t="s">
        <v>2</v>
      </c>
      <c r="K1" t="s">
        <v>3</v>
      </c>
      <c r="M1" t="s">
        <v>7</v>
      </c>
      <c r="N1" t="s">
        <v>0</v>
      </c>
      <c r="O1" t="s">
        <v>1</v>
      </c>
      <c r="P1" t="s">
        <v>2</v>
      </c>
      <c r="Q1" t="s">
        <v>3</v>
      </c>
      <c r="S1" t="s">
        <v>5</v>
      </c>
      <c r="T1" t="s">
        <v>0</v>
      </c>
      <c r="U1" t="s">
        <v>1</v>
      </c>
      <c r="V1" t="s">
        <v>2</v>
      </c>
      <c r="W1" t="s">
        <v>3</v>
      </c>
      <c r="Y1" t="s">
        <v>8</v>
      </c>
      <c r="Z1" t="s">
        <v>0</v>
      </c>
      <c r="AA1" t="s">
        <v>1</v>
      </c>
      <c r="AB1" t="s">
        <v>2</v>
      </c>
      <c r="AC1" t="s">
        <v>3</v>
      </c>
    </row>
    <row r="2" spans="1:29" x14ac:dyDescent="0.3">
      <c r="A2" t="s">
        <v>44</v>
      </c>
      <c r="B2" s="1">
        <v>206.67977892556829</v>
      </c>
      <c r="C2" s="1">
        <v>30.402451248845974</v>
      </c>
      <c r="D2" s="1">
        <v>19.618405783866066</v>
      </c>
      <c r="E2" s="1">
        <v>763.0143333333333</v>
      </c>
      <c r="F2" s="1"/>
      <c r="G2" s="1"/>
      <c r="H2" s="1">
        <v>227.04374915254235</v>
      </c>
      <c r="I2" s="1">
        <v>29.865426836158196</v>
      </c>
      <c r="J2" s="1">
        <v>17.022652824858753</v>
      </c>
      <c r="K2" s="1">
        <v>0.60066666666666657</v>
      </c>
      <c r="L2" s="1"/>
      <c r="M2" s="1"/>
      <c r="N2" s="1">
        <v>275.75788405797101</v>
      </c>
      <c r="O2" s="1">
        <v>34.236431159420285</v>
      </c>
      <c r="P2" s="1">
        <v>21.21714130434783</v>
      </c>
      <c r="Q2" s="1">
        <v>150.00766666666667</v>
      </c>
      <c r="R2" s="1"/>
      <c r="S2" s="1"/>
      <c r="T2" s="1">
        <v>168.09499999999997</v>
      </c>
      <c r="U2" s="1">
        <v>29.34227868852458</v>
      </c>
      <c r="V2" s="1">
        <v>20.546051912568309</v>
      </c>
      <c r="W2" s="1">
        <v>382.66466666666656</v>
      </c>
      <c r="X2" s="1"/>
      <c r="Y2" s="1"/>
      <c r="Z2" s="1">
        <v>175.64584420289853</v>
      </c>
      <c r="AA2" s="1">
        <v>28.31996376811594</v>
      </c>
      <c r="AB2" s="1">
        <v>18.461597826086958</v>
      </c>
      <c r="AC2" s="1">
        <v>229.74133333333333</v>
      </c>
    </row>
    <row r="3" spans="1:29" x14ac:dyDescent="0.3">
      <c r="A3" t="s">
        <v>45</v>
      </c>
      <c r="B3" s="1">
        <v>209.35510294183695</v>
      </c>
      <c r="C3" s="1">
        <v>30.225333892257414</v>
      </c>
      <c r="D3" s="1">
        <v>19.370842510666964</v>
      </c>
      <c r="E3" s="1">
        <v>773.61066666666659</v>
      </c>
      <c r="F3" s="1"/>
      <c r="G3" s="1"/>
      <c r="H3" s="1">
        <v>227.59540273069678</v>
      </c>
      <c r="I3" s="1">
        <v>29.459034651600749</v>
      </c>
      <c r="J3" s="1">
        <v>16.619665065913374</v>
      </c>
      <c r="K3" s="1">
        <v>0.70533333333333337</v>
      </c>
      <c r="L3" s="1"/>
      <c r="M3" s="1"/>
      <c r="N3" s="1">
        <v>277.08788405797094</v>
      </c>
      <c r="O3" s="1">
        <v>34.035166666666662</v>
      </c>
      <c r="P3" s="1">
        <v>21.00949637681159</v>
      </c>
      <c r="Q3" s="1">
        <v>141.3296666666667</v>
      </c>
      <c r="R3" s="1"/>
      <c r="S3" s="1"/>
      <c r="T3" s="1">
        <v>175.7598524590164</v>
      </c>
      <c r="U3" s="1">
        <v>29.399467213114761</v>
      </c>
      <c r="V3" s="1">
        <v>20.363920765027327</v>
      </c>
      <c r="W3" s="1">
        <v>396.5870000000001</v>
      </c>
      <c r="X3" s="1"/>
      <c r="Y3" s="1"/>
      <c r="Z3" s="1">
        <v>174.41843115942027</v>
      </c>
      <c r="AA3" s="1">
        <v>28.003974637681157</v>
      </c>
      <c r="AB3" s="1">
        <v>18.187467391304345</v>
      </c>
      <c r="AC3" s="1">
        <v>234.98866666666666</v>
      </c>
    </row>
    <row r="4" spans="1:29" x14ac:dyDescent="0.3">
      <c r="A4" t="s">
        <v>46</v>
      </c>
      <c r="B4" s="1">
        <v>207.39881709708806</v>
      </c>
      <c r="C4" s="1">
        <v>30.150317960426186</v>
      </c>
      <c r="D4" s="1">
        <v>19.327707468123865</v>
      </c>
      <c r="E4" s="1">
        <v>787.29933333333327</v>
      </c>
      <c r="F4" s="1"/>
      <c r="G4" s="1"/>
      <c r="H4" s="1">
        <v>227.75673747645945</v>
      </c>
      <c r="I4" s="1">
        <v>29.616941148775894</v>
      </c>
      <c r="J4" s="1">
        <v>16.660741431261773</v>
      </c>
      <c r="K4" s="1">
        <v>0.46266666666666656</v>
      </c>
      <c r="L4" s="1"/>
      <c r="M4" s="1"/>
      <c r="N4" s="1">
        <v>277.80803985507254</v>
      </c>
      <c r="O4" s="1">
        <v>34.111880434782606</v>
      </c>
      <c r="P4" s="1">
        <v>20.973068840579707</v>
      </c>
      <c r="Q4" s="1">
        <v>146.09166666666664</v>
      </c>
      <c r="R4" s="1"/>
      <c r="S4" s="1"/>
      <c r="T4" s="1">
        <v>167.32633333333334</v>
      </c>
      <c r="U4" s="1">
        <v>29.029494535519127</v>
      </c>
      <c r="V4" s="1">
        <v>20.297472677595625</v>
      </c>
      <c r="W4" s="1">
        <v>417.3006666666667</v>
      </c>
      <c r="X4" s="1"/>
      <c r="Y4" s="1"/>
      <c r="Z4" s="1">
        <v>177.00986594202899</v>
      </c>
      <c r="AA4" s="1">
        <v>28.018351449275357</v>
      </c>
      <c r="AB4" s="1">
        <v>18.114293478260873</v>
      </c>
      <c r="AC4" s="1">
        <v>223.44433333333333</v>
      </c>
    </row>
    <row r="5" spans="1:29" x14ac:dyDescent="0.3">
      <c r="A5" t="s">
        <v>47</v>
      </c>
      <c r="B5" s="1">
        <v>210.0542258227911</v>
      </c>
      <c r="C5" s="1">
        <v>30.028196871023276</v>
      </c>
      <c r="D5" s="1">
        <v>19.149420475584499</v>
      </c>
      <c r="E5" s="1">
        <v>792.92400000000009</v>
      </c>
      <c r="F5" s="1"/>
      <c r="G5" s="1"/>
      <c r="H5" s="1">
        <v>228.26463389830514</v>
      </c>
      <c r="I5" s="1">
        <v>29.263666195856867</v>
      </c>
      <c r="J5" s="1">
        <v>16.325429755178906</v>
      </c>
      <c r="K5" s="1">
        <v>0.55000000000000004</v>
      </c>
      <c r="L5" s="1"/>
      <c r="M5" s="1"/>
      <c r="N5" s="1">
        <v>279.06135869565213</v>
      </c>
      <c r="O5" s="1">
        <v>33.963793478260861</v>
      </c>
      <c r="P5" s="1">
        <v>20.838061594202891</v>
      </c>
      <c r="Q5" s="1">
        <v>138.69766666666663</v>
      </c>
      <c r="R5" s="1"/>
      <c r="S5" s="1"/>
      <c r="T5" s="1">
        <v>175.02248360655733</v>
      </c>
      <c r="U5" s="1">
        <v>29.136374316939897</v>
      </c>
      <c r="V5" s="1">
        <v>20.181986338797817</v>
      </c>
      <c r="W5" s="1">
        <v>428.34</v>
      </c>
      <c r="X5" s="1"/>
      <c r="Y5" s="1"/>
      <c r="Z5" s="1">
        <v>175.76687318840581</v>
      </c>
      <c r="AA5" s="1">
        <v>27.767420289855071</v>
      </c>
      <c r="AB5" s="1">
        <v>17.910597826086953</v>
      </c>
      <c r="AC5" s="1">
        <v>225.33633333333333</v>
      </c>
    </row>
    <row r="6" spans="1:29" x14ac:dyDescent="0.3">
      <c r="A6" t="s">
        <v>48</v>
      </c>
      <c r="B6" s="1">
        <v>208.7054825835267</v>
      </c>
      <c r="C6" s="1">
        <v>29.93000959153629</v>
      </c>
      <c r="D6" s="1">
        <v>19.073539276891985</v>
      </c>
      <c r="E6" s="1">
        <v>788.14366666666649</v>
      </c>
      <c r="F6" s="1"/>
      <c r="G6" s="1"/>
      <c r="H6" s="1">
        <v>228.98588418079092</v>
      </c>
      <c r="I6" s="1">
        <v>29.392054519774003</v>
      </c>
      <c r="J6" s="1">
        <v>16.337362052730697</v>
      </c>
      <c r="K6" s="1">
        <v>0.29633333333333334</v>
      </c>
      <c r="L6" s="1"/>
      <c r="M6" s="1"/>
      <c r="N6" s="1">
        <v>280.20465579710151</v>
      </c>
      <c r="O6" s="1">
        <v>34.030807971014504</v>
      </c>
      <c r="P6" s="1">
        <v>20.784452898550722</v>
      </c>
      <c r="Q6" s="1">
        <v>138.79599999999994</v>
      </c>
      <c r="R6" s="1"/>
      <c r="S6" s="1"/>
      <c r="T6" s="1">
        <v>167.14548907103827</v>
      </c>
      <c r="U6" s="1">
        <v>28.757240437158476</v>
      </c>
      <c r="V6" s="1">
        <v>20.088404371584701</v>
      </c>
      <c r="W6" s="1">
        <v>438.25033333333329</v>
      </c>
      <c r="X6" s="1"/>
      <c r="Y6" s="1"/>
      <c r="Z6" s="1">
        <v>179.2481413043478</v>
      </c>
      <c r="AA6" s="1">
        <v>27.730663043478266</v>
      </c>
      <c r="AB6" s="1">
        <v>17.779347826086962</v>
      </c>
      <c r="AC6" s="1">
        <v>210.80099999999999</v>
      </c>
    </row>
    <row r="7" spans="1:29" x14ac:dyDescent="0.3">
      <c r="A7" t="s">
        <v>49</v>
      </c>
      <c r="B7" s="1">
        <v>211.26237122040069</v>
      </c>
      <c r="C7" s="1">
        <v>29.952696579085273</v>
      </c>
      <c r="D7" s="1">
        <v>19.048123392469499</v>
      </c>
      <c r="E7" s="1">
        <v>788.38199999999972</v>
      </c>
      <c r="F7" s="1"/>
      <c r="G7" s="1"/>
      <c r="H7" s="1">
        <v>229.40788210922784</v>
      </c>
      <c r="I7" s="1">
        <v>29.18092768361582</v>
      </c>
      <c r="J7" s="1">
        <v>16.15644350282486</v>
      </c>
      <c r="K7" s="1">
        <v>0.38499999999999995</v>
      </c>
      <c r="L7" s="1"/>
      <c r="M7" s="1"/>
      <c r="N7" s="1">
        <v>281.33768115942024</v>
      </c>
      <c r="O7" s="1">
        <v>34.027318840579703</v>
      </c>
      <c r="P7" s="1">
        <v>20.800829710144928</v>
      </c>
      <c r="Q7" s="1">
        <v>132.08566666666667</v>
      </c>
      <c r="R7" s="1"/>
      <c r="S7" s="1"/>
      <c r="T7" s="1">
        <v>174.70937431693989</v>
      </c>
      <c r="U7" s="1">
        <v>29.008092896174858</v>
      </c>
      <c r="V7" s="1">
        <v>20.128633879781418</v>
      </c>
      <c r="W7" s="1">
        <v>445.47433333333322</v>
      </c>
      <c r="X7" s="1"/>
      <c r="Y7" s="1"/>
      <c r="Z7" s="1">
        <v>177.96513768115938</v>
      </c>
      <c r="AA7" s="1">
        <v>27.627568840579713</v>
      </c>
      <c r="AB7" s="1">
        <v>17.72525724637681</v>
      </c>
      <c r="AC7" s="1">
        <v>210.43699999999993</v>
      </c>
    </row>
    <row r="8" spans="1:29" x14ac:dyDescent="0.3">
      <c r="A8" t="s">
        <v>50</v>
      </c>
      <c r="B8" s="1">
        <v>210.01221381590446</v>
      </c>
      <c r="C8" s="1">
        <v>29.907086733038902</v>
      </c>
      <c r="D8" s="1">
        <v>19.017944000299419</v>
      </c>
      <c r="E8" s="1">
        <v>761.5856666666665</v>
      </c>
      <c r="F8" s="1"/>
      <c r="G8" s="1"/>
      <c r="H8" s="1">
        <v>230.21508653483991</v>
      </c>
      <c r="I8" s="1">
        <v>29.348054896421846</v>
      </c>
      <c r="J8" s="1">
        <v>16.218542937853108</v>
      </c>
      <c r="K8" s="1">
        <v>0.16033333333333333</v>
      </c>
      <c r="L8" s="1"/>
      <c r="M8" s="1"/>
      <c r="N8" s="1">
        <v>282.6013224637681</v>
      </c>
      <c r="O8" s="1">
        <v>34.15529347826088</v>
      </c>
      <c r="P8" s="1">
        <v>20.8069963768116</v>
      </c>
      <c r="Q8" s="1">
        <v>128.23599999999999</v>
      </c>
      <c r="R8" s="1"/>
      <c r="S8" s="1"/>
      <c r="T8" s="1">
        <v>166.96472950819677</v>
      </c>
      <c r="U8" s="1">
        <v>28.70150819672131</v>
      </c>
      <c r="V8" s="1">
        <v>20.083377049180324</v>
      </c>
      <c r="W8" s="1">
        <v>436.16700000000009</v>
      </c>
      <c r="X8" s="1"/>
      <c r="Y8" s="1"/>
      <c r="Z8" s="1">
        <v>181.48647826086957</v>
      </c>
      <c r="AA8" s="1">
        <v>27.617438405797095</v>
      </c>
      <c r="AB8" s="1">
        <v>17.619278985507247</v>
      </c>
      <c r="AC8" s="1">
        <v>197.02233333333328</v>
      </c>
    </row>
    <row r="9" spans="1:29" x14ac:dyDescent="0.3">
      <c r="A9" t="s">
        <v>51</v>
      </c>
      <c r="B9" s="1">
        <v>212.47055684307699</v>
      </c>
      <c r="C9" s="1">
        <v>29.886364218878665</v>
      </c>
      <c r="D9" s="1">
        <v>18.949542128901864</v>
      </c>
      <c r="E9" s="1">
        <v>757.9849999999999</v>
      </c>
      <c r="F9" s="1"/>
      <c r="G9" s="1"/>
      <c r="H9" s="1">
        <v>230.55133295668548</v>
      </c>
      <c r="I9" s="1">
        <v>29.091694256120523</v>
      </c>
      <c r="J9" s="1">
        <v>15.993695856873822</v>
      </c>
      <c r="K9" s="1">
        <v>0.2196666666666667</v>
      </c>
      <c r="L9" s="1"/>
      <c r="M9" s="1"/>
      <c r="N9" s="1">
        <v>283.61406521739133</v>
      </c>
      <c r="O9" s="1">
        <v>34.112090579710141</v>
      </c>
      <c r="P9" s="1">
        <v>20.776010869565216</v>
      </c>
      <c r="Q9" s="1">
        <v>122.11533333333335</v>
      </c>
      <c r="R9" s="1"/>
      <c r="S9" s="1"/>
      <c r="T9" s="1">
        <v>174.39614207650277</v>
      </c>
      <c r="U9" s="1">
        <v>28.908196721311469</v>
      </c>
      <c r="V9" s="1">
        <v>20.087931693989074</v>
      </c>
      <c r="W9" s="1">
        <v>440.06333333333333</v>
      </c>
      <c r="X9" s="1"/>
      <c r="Y9" s="1"/>
      <c r="Z9" s="1">
        <v>180.16353260869565</v>
      </c>
      <c r="AA9" s="1">
        <v>27.469413043478266</v>
      </c>
      <c r="AB9" s="1">
        <v>17.517492753623188</v>
      </c>
      <c r="AC9" s="1">
        <v>195.58666666666664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15E20-BB07-4D95-A4D7-CDB16F4598E2}">
  <sheetPr codeName="Sheet99"/>
  <dimension ref="A1:AD131"/>
  <sheetViews>
    <sheetView workbookViewId="0">
      <selection sqref="A1:G1"/>
    </sheetView>
  </sheetViews>
  <sheetFormatPr defaultRowHeight="14.4" x14ac:dyDescent="0.3"/>
  <sheetData>
    <row r="1" spans="1:30" x14ac:dyDescent="0.3">
      <c r="A1" t="s">
        <v>4</v>
      </c>
      <c r="B1" t="s">
        <v>0</v>
      </c>
      <c r="C1" t="s">
        <v>1</v>
      </c>
      <c r="D1" t="s">
        <v>2</v>
      </c>
      <c r="E1" t="s">
        <v>3</v>
      </c>
      <c r="G1" t="s">
        <v>6</v>
      </c>
      <c r="H1" t="s">
        <v>0</v>
      </c>
      <c r="I1" t="s">
        <v>1</v>
      </c>
      <c r="J1" t="s">
        <v>2</v>
      </c>
      <c r="K1" t="s">
        <v>3</v>
      </c>
      <c r="M1" t="s">
        <v>7</v>
      </c>
      <c r="N1" t="s">
        <v>0</v>
      </c>
      <c r="O1" t="s">
        <v>1</v>
      </c>
      <c r="P1" t="s">
        <v>2</v>
      </c>
      <c r="Q1" t="s">
        <v>3</v>
      </c>
      <c r="S1" t="s">
        <v>5</v>
      </c>
      <c r="T1" t="s">
        <v>0</v>
      </c>
      <c r="U1" t="s">
        <v>1</v>
      </c>
      <c r="V1" t="s">
        <v>2</v>
      </c>
      <c r="W1" t="s">
        <v>3</v>
      </c>
      <c r="Y1" t="s">
        <v>8</v>
      </c>
      <c r="Z1" t="s">
        <v>0</v>
      </c>
      <c r="AA1" t="s">
        <v>1</v>
      </c>
      <c r="AB1" t="s">
        <v>2</v>
      </c>
      <c r="AC1" t="s">
        <v>3</v>
      </c>
    </row>
    <row r="2" spans="1:30" x14ac:dyDescent="0.3">
      <c r="A2" t="s">
        <v>44</v>
      </c>
      <c r="B2" s="1">
        <v>252.8629061756119</v>
      </c>
      <c r="C2" s="1">
        <v>30.590014180203116</v>
      </c>
      <c r="D2" s="1">
        <v>21.360281725179032</v>
      </c>
      <c r="E2" s="1">
        <v>784.51766666666663</v>
      </c>
      <c r="F2" s="1"/>
      <c r="G2" s="1"/>
      <c r="H2" s="1">
        <v>263.64470310734464</v>
      </c>
      <c r="I2" s="1">
        <v>29.937204613935972</v>
      </c>
      <c r="J2" s="1">
        <v>19.189743408662899</v>
      </c>
      <c r="K2" s="1">
        <v>0.34466666666666662</v>
      </c>
      <c r="L2" s="1"/>
      <c r="M2" s="1"/>
      <c r="N2" s="1">
        <v>291.05278985507243</v>
      </c>
      <c r="O2" s="1">
        <v>34.311706521739126</v>
      </c>
      <c r="P2" s="1">
        <v>23.232347826086958</v>
      </c>
      <c r="Q2" s="1">
        <v>129.23633333333333</v>
      </c>
      <c r="R2" s="1"/>
      <c r="S2" s="1"/>
      <c r="T2" s="1">
        <v>237.434912568306</v>
      </c>
      <c r="U2" s="1">
        <v>29.619508196721313</v>
      </c>
      <c r="V2" s="1">
        <v>21.894259562841533</v>
      </c>
      <c r="W2" s="1">
        <v>396.65066666666667</v>
      </c>
      <c r="X2" s="1"/>
      <c r="Y2" s="1"/>
      <c r="Z2" s="1">
        <v>228.1755036231884</v>
      </c>
      <c r="AA2" s="1">
        <v>28.576420289855072</v>
      </c>
      <c r="AB2" s="1">
        <v>20.179155797101448</v>
      </c>
      <c r="AC2" s="1">
        <v>258.286</v>
      </c>
    </row>
    <row r="3" spans="1:30" x14ac:dyDescent="0.3">
      <c r="A3" t="s">
        <v>45</v>
      </c>
      <c r="B3" s="1">
        <v>253.41933573371259</v>
      </c>
      <c r="C3" s="1">
        <v>30.399861359383188</v>
      </c>
      <c r="D3" s="1">
        <v>21.112034284003297</v>
      </c>
      <c r="E3" s="1">
        <v>794.29866666666646</v>
      </c>
      <c r="F3" s="1"/>
      <c r="G3" s="1"/>
      <c r="H3" s="1">
        <v>264.69934576271191</v>
      </c>
      <c r="I3" s="1">
        <v>29.504876836158189</v>
      </c>
      <c r="J3" s="1">
        <v>18.775613747645949</v>
      </c>
      <c r="K3" s="1">
        <v>0.4416666666666666</v>
      </c>
      <c r="L3" s="1"/>
      <c r="M3" s="1"/>
      <c r="N3" s="1">
        <v>293.01468115942032</v>
      </c>
      <c r="O3" s="1">
        <v>34.067554347826082</v>
      </c>
      <c r="P3" s="1">
        <v>23.001489130434784</v>
      </c>
      <c r="Q3" s="1">
        <v>124.03866666666667</v>
      </c>
      <c r="R3" s="1"/>
      <c r="S3" s="1"/>
      <c r="T3" s="1">
        <v>237.19641530054645</v>
      </c>
      <c r="U3" s="1">
        <v>29.694284153005462</v>
      </c>
      <c r="V3" s="1">
        <v>21.747833333333332</v>
      </c>
      <c r="W3" s="1">
        <v>403.40933333333334</v>
      </c>
      <c r="X3" s="1"/>
      <c r="Y3" s="1"/>
      <c r="Z3" s="1">
        <v>228.05944202898547</v>
      </c>
      <c r="AA3" s="1">
        <v>28.244989130434782</v>
      </c>
      <c r="AB3" s="1">
        <v>19.885340579710149</v>
      </c>
      <c r="AC3" s="1">
        <v>266.40899999999999</v>
      </c>
    </row>
    <row r="4" spans="1:30" x14ac:dyDescent="0.3">
      <c r="A4" t="s">
        <v>46</v>
      </c>
      <c r="B4" s="1">
        <v>253.31236916685378</v>
      </c>
      <c r="C4" s="1">
        <v>30.324175384884096</v>
      </c>
      <c r="D4" s="1">
        <v>21.049111595179284</v>
      </c>
      <c r="E4" s="1">
        <v>810.02133333333325</v>
      </c>
      <c r="F4" s="1"/>
      <c r="G4" s="1"/>
      <c r="H4" s="1">
        <v>263.35818625235407</v>
      </c>
      <c r="I4" s="1">
        <v>29.668948681732576</v>
      </c>
      <c r="J4" s="1">
        <v>18.810277683615819</v>
      </c>
      <c r="K4" s="1">
        <v>0.23366666666666666</v>
      </c>
      <c r="L4" s="1"/>
      <c r="M4" s="1"/>
      <c r="N4" s="1">
        <v>291.83999275362311</v>
      </c>
      <c r="O4" s="1">
        <v>34.165659420289863</v>
      </c>
      <c r="P4" s="1">
        <v>22.959210144927535</v>
      </c>
      <c r="Q4" s="1">
        <v>124.36266666666664</v>
      </c>
      <c r="R4" s="1"/>
      <c r="S4" s="1"/>
      <c r="T4" s="1">
        <v>237.92207923497261</v>
      </c>
      <c r="U4" s="1">
        <v>29.299948087431691</v>
      </c>
      <c r="V4" s="1">
        <v>21.615322404371593</v>
      </c>
      <c r="W4" s="1">
        <v>432.14866666666671</v>
      </c>
      <c r="X4" s="1"/>
      <c r="Y4" s="1"/>
      <c r="Z4" s="1">
        <v>228.71124275362322</v>
      </c>
      <c r="AA4" s="1">
        <v>28.263579710144931</v>
      </c>
      <c r="AB4" s="1">
        <v>19.8311884057971</v>
      </c>
      <c r="AC4" s="1">
        <v>253.2763333333333</v>
      </c>
    </row>
    <row r="5" spans="1:30" x14ac:dyDescent="0.3">
      <c r="A5" t="s">
        <v>47</v>
      </c>
      <c r="B5" s="1">
        <v>253.80473461835967</v>
      </c>
      <c r="C5" s="1">
        <v>30.19074109589042</v>
      </c>
      <c r="D5" s="1">
        <v>20.870557948449239</v>
      </c>
      <c r="E5" s="1">
        <v>816.93499999999995</v>
      </c>
      <c r="F5" s="1"/>
      <c r="G5" s="1"/>
      <c r="H5" s="1">
        <v>264.31259557438796</v>
      </c>
      <c r="I5" s="1">
        <v>29.293657156308857</v>
      </c>
      <c r="J5" s="1">
        <v>18.469680131826742</v>
      </c>
      <c r="K5" s="1">
        <v>0.29766666666666658</v>
      </c>
      <c r="L5" s="1"/>
      <c r="M5" s="1"/>
      <c r="N5" s="1">
        <v>293.70618478260866</v>
      </c>
      <c r="O5" s="1">
        <v>33.976985507246376</v>
      </c>
      <c r="P5" s="1">
        <v>22.799456521739128</v>
      </c>
      <c r="Q5" s="1">
        <v>120.88333333333334</v>
      </c>
      <c r="R5" s="1"/>
      <c r="S5" s="1"/>
      <c r="T5" s="1">
        <v>237.64494808743169</v>
      </c>
      <c r="U5" s="1">
        <v>29.424841530054646</v>
      </c>
      <c r="V5" s="1">
        <v>21.532868852459011</v>
      </c>
      <c r="W5" s="1">
        <v>437.70633333333348</v>
      </c>
      <c r="X5" s="1"/>
      <c r="Y5" s="1"/>
      <c r="Z5" s="1">
        <v>228.55234782608696</v>
      </c>
      <c r="AA5" s="1">
        <v>27.99865217391304</v>
      </c>
      <c r="AB5" s="1">
        <v>19.610764492753624</v>
      </c>
      <c r="AC5" s="1">
        <v>258.04766666666666</v>
      </c>
    </row>
    <row r="6" spans="1:30" x14ac:dyDescent="0.3">
      <c r="A6" t="s">
        <v>48</v>
      </c>
      <c r="B6" s="1">
        <v>253.76042618708979</v>
      </c>
      <c r="C6" s="1">
        <v>30.08932707787509</v>
      </c>
      <c r="D6" s="1">
        <v>20.764895071986427</v>
      </c>
      <c r="E6" s="1">
        <v>818.65599999999972</v>
      </c>
      <c r="F6" s="1"/>
      <c r="G6" s="1"/>
      <c r="H6" s="1">
        <v>263.05594849340861</v>
      </c>
      <c r="I6" s="1">
        <v>29.420003766478338</v>
      </c>
      <c r="J6" s="1">
        <v>18.445015725047078</v>
      </c>
      <c r="K6" s="1">
        <v>0.17933333333333332</v>
      </c>
      <c r="L6" s="1"/>
      <c r="M6" s="1"/>
      <c r="N6" s="1">
        <v>292.63484420289853</v>
      </c>
      <c r="O6" s="1">
        <v>34.066572463768111</v>
      </c>
      <c r="P6" s="1">
        <v>22.730851449275359</v>
      </c>
      <c r="Q6" s="1">
        <v>115.38566666666665</v>
      </c>
      <c r="R6" s="1"/>
      <c r="S6" s="1"/>
      <c r="T6" s="1">
        <v>238.39799726775962</v>
      </c>
      <c r="U6" s="1">
        <v>29.02060655737705</v>
      </c>
      <c r="V6" s="1">
        <v>21.372489071038256</v>
      </c>
      <c r="W6" s="1">
        <v>455.78433333333339</v>
      </c>
      <c r="X6" s="1"/>
      <c r="Y6" s="1"/>
      <c r="Z6" s="1">
        <v>229.25878985507248</v>
      </c>
      <c r="AA6" s="1">
        <v>27.961028985507241</v>
      </c>
      <c r="AB6" s="1">
        <v>19.488416666666662</v>
      </c>
      <c r="AC6" s="1">
        <v>247.3066666666667</v>
      </c>
    </row>
    <row r="7" spans="1:30" x14ac:dyDescent="0.3">
      <c r="A7" t="s">
        <v>49</v>
      </c>
      <c r="B7" s="1">
        <v>254.18989488235141</v>
      </c>
      <c r="C7" s="1">
        <v>30.10432657135015</v>
      </c>
      <c r="D7" s="1">
        <v>20.742412680589855</v>
      </c>
      <c r="E7" s="1">
        <v>822.23166666666657</v>
      </c>
      <c r="F7" s="1"/>
      <c r="G7" s="1"/>
      <c r="H7" s="1">
        <v>263.90771817325793</v>
      </c>
      <c r="I7" s="1">
        <v>29.193865065913375</v>
      </c>
      <c r="J7" s="1">
        <v>18.265450282485872</v>
      </c>
      <c r="K7" s="1">
        <v>0.23066666666666666</v>
      </c>
      <c r="L7" s="1"/>
      <c r="M7" s="1"/>
      <c r="N7" s="1">
        <v>294.40625724637692</v>
      </c>
      <c r="O7" s="1">
        <v>34.025789855072468</v>
      </c>
      <c r="P7" s="1">
        <v>22.726007246376813</v>
      </c>
      <c r="Q7" s="1">
        <v>112.87933333333331</v>
      </c>
      <c r="R7" s="1"/>
      <c r="S7" s="1"/>
      <c r="T7" s="1">
        <v>238.08167486338797</v>
      </c>
      <c r="U7" s="1">
        <v>29.289702185792351</v>
      </c>
      <c r="V7" s="1">
        <v>21.445625683060104</v>
      </c>
      <c r="W7" s="1">
        <v>459.85966666666667</v>
      </c>
      <c r="X7" s="1"/>
      <c r="Y7" s="1"/>
      <c r="Z7" s="1">
        <v>229.06306884057975</v>
      </c>
      <c r="AA7" s="1">
        <v>27.850221014492757</v>
      </c>
      <c r="AB7" s="1">
        <v>19.422663043478266</v>
      </c>
      <c r="AC7" s="1">
        <v>249.262</v>
      </c>
    </row>
    <row r="8" spans="1:30" x14ac:dyDescent="0.3">
      <c r="A8" t="s">
        <v>50</v>
      </c>
      <c r="B8" s="1">
        <v>254.20510330364053</v>
      </c>
      <c r="C8" s="1">
        <v>30.054106023404945</v>
      </c>
      <c r="D8" s="1">
        <v>20.679431576714819</v>
      </c>
      <c r="E8" s="1">
        <v>803.51566666666645</v>
      </c>
      <c r="F8" s="1"/>
      <c r="G8" s="1"/>
      <c r="H8" s="1">
        <v>262.7432874764595</v>
      </c>
      <c r="I8" s="1">
        <v>29.353636346516005</v>
      </c>
      <c r="J8" s="1">
        <v>18.274037758945379</v>
      </c>
      <c r="K8" s="1">
        <v>0.14699999999999999</v>
      </c>
      <c r="L8" s="1"/>
      <c r="M8" s="1"/>
      <c r="N8" s="1">
        <v>293.45622826086952</v>
      </c>
      <c r="O8" s="1">
        <v>34.174847826086953</v>
      </c>
      <c r="P8" s="1">
        <v>22.715800724637685</v>
      </c>
      <c r="Q8" s="1">
        <v>104.60066666666665</v>
      </c>
      <c r="R8" s="1"/>
      <c r="S8" s="1"/>
      <c r="T8" s="1">
        <v>238.86167759562841</v>
      </c>
      <c r="U8" s="1">
        <v>28.959158469945361</v>
      </c>
      <c r="V8" s="1">
        <v>21.334937158469941</v>
      </c>
      <c r="W8" s="1">
        <v>460.08533333333327</v>
      </c>
      <c r="X8" s="1"/>
      <c r="Y8" s="1"/>
      <c r="Z8" s="1">
        <v>229.78943840579709</v>
      </c>
      <c r="AA8" s="1">
        <v>27.837115942028991</v>
      </c>
      <c r="AB8" s="1">
        <v>19.324061594202899</v>
      </c>
      <c r="AC8" s="1">
        <v>238.68266666666665</v>
      </c>
    </row>
    <row r="9" spans="1:30" x14ac:dyDescent="0.3">
      <c r="A9" t="s">
        <v>51</v>
      </c>
      <c r="B9" s="1">
        <v>254.57302527634312</v>
      </c>
      <c r="C9" s="1">
        <v>30.030037063652468</v>
      </c>
      <c r="D9" s="1">
        <v>20.618527551962469</v>
      </c>
      <c r="E9" s="1">
        <v>803.86866666666663</v>
      </c>
      <c r="F9" s="1"/>
      <c r="G9" s="1"/>
      <c r="H9" s="1">
        <v>263.49389698681733</v>
      </c>
      <c r="I9" s="1">
        <v>29.090497645951032</v>
      </c>
      <c r="J9" s="1">
        <v>18.060044256120531</v>
      </c>
      <c r="K9" s="1">
        <v>0.18966666666666665</v>
      </c>
      <c r="L9" s="1"/>
      <c r="M9" s="1"/>
      <c r="N9" s="1">
        <v>295.13632971014493</v>
      </c>
      <c r="O9" s="1">
        <v>34.097637681159426</v>
      </c>
      <c r="P9" s="1">
        <v>22.6688115942029</v>
      </c>
      <c r="Q9" s="1">
        <v>102.24399999999999</v>
      </c>
      <c r="R9" s="1"/>
      <c r="S9" s="1"/>
      <c r="T9" s="1">
        <v>238.50647540983607</v>
      </c>
      <c r="U9" s="1">
        <v>29.184330601092899</v>
      </c>
      <c r="V9" s="1">
        <v>21.372666666666671</v>
      </c>
      <c r="W9" s="1">
        <v>462.52733333333339</v>
      </c>
      <c r="X9" s="1"/>
      <c r="Y9" s="1"/>
      <c r="Z9" s="1">
        <v>229.55741304347831</v>
      </c>
      <c r="AA9" s="1">
        <v>27.689699275362319</v>
      </c>
      <c r="AB9" s="1">
        <v>19.217036231884052</v>
      </c>
      <c r="AC9" s="1">
        <v>238.90766666666659</v>
      </c>
    </row>
    <row r="10" spans="1:30" x14ac:dyDescent="0.3">
      <c r="C10">
        <f>_xlfn.STDEV.P(C2:C9)</f>
        <v>0.18539414037184751</v>
      </c>
      <c r="D10">
        <f>_xlfn.STDEV.P(D2:D9)</f>
        <v>0.23740320023916142</v>
      </c>
      <c r="I10">
        <f>_xlfn.STDEV.P(I2:I9)</f>
        <v>0.25383002115687298</v>
      </c>
      <c r="J10">
        <f>_xlfn.STDEV.P(J2:J9)</f>
        <v>0.34297498178396851</v>
      </c>
      <c r="O10">
        <f>_xlfn.STDEV.P(O2:O9)</f>
        <v>9.7856812556031139E-2</v>
      </c>
      <c r="P10">
        <f>_xlfn.STDEV.P(P2:P9)</f>
        <v>0.18161955263555807</v>
      </c>
      <c r="U10">
        <f>_xlfn.STDEV.P(U2:U9)</f>
        <v>0.24489365998694132</v>
      </c>
      <c r="V10">
        <f>_xlfn.STDEV.P(V2:V9)</f>
        <v>0.18756148636724379</v>
      </c>
      <c r="AA10">
        <f>_xlfn.STDEV.P(AA2:AA9)</f>
        <v>0.27071590194688527</v>
      </c>
      <c r="AB10">
        <f>_xlfn.STDEV.P(AB2:AB9)</f>
        <v>0.30289474590292881</v>
      </c>
    </row>
    <row r="12" spans="1:30" x14ac:dyDescent="0.3">
      <c r="A12" t="s">
        <v>9</v>
      </c>
      <c r="B12" t="s">
        <v>0</v>
      </c>
      <c r="C12" t="s">
        <v>1</v>
      </c>
      <c r="D12" t="s">
        <v>2</v>
      </c>
      <c r="E12" t="s">
        <v>3</v>
      </c>
      <c r="G12" t="s">
        <v>6</v>
      </c>
      <c r="H12" t="s">
        <v>0</v>
      </c>
      <c r="I12" t="s">
        <v>1</v>
      </c>
      <c r="J12" t="s">
        <v>2</v>
      </c>
      <c r="K12" t="s">
        <v>3</v>
      </c>
      <c r="M12" t="s">
        <v>7</v>
      </c>
      <c r="N12" t="s">
        <v>0</v>
      </c>
      <c r="O12" t="s">
        <v>1</v>
      </c>
      <c r="P12" t="s">
        <v>2</v>
      </c>
      <c r="Q12" t="s">
        <v>3</v>
      </c>
      <c r="S12" t="s">
        <v>5</v>
      </c>
      <c r="T12" t="s">
        <v>0</v>
      </c>
      <c r="U12" t="s">
        <v>1</v>
      </c>
      <c r="V12" t="s">
        <v>2</v>
      </c>
      <c r="W12" t="s">
        <v>3</v>
      </c>
      <c r="Y12" t="s">
        <v>8</v>
      </c>
      <c r="Z12" t="s">
        <v>0</v>
      </c>
      <c r="AA12" t="s">
        <v>1</v>
      </c>
      <c r="AB12" t="s">
        <v>2</v>
      </c>
      <c r="AC12" t="s">
        <v>3</v>
      </c>
    </row>
    <row r="13" spans="1:30" x14ac:dyDescent="0.3">
      <c r="A13" t="s">
        <v>12</v>
      </c>
      <c r="B13" s="1">
        <v>244.7086970498456</v>
      </c>
      <c r="C13" s="1">
        <v>32.2727200139731</v>
      </c>
      <c r="D13" s="1">
        <v>19.750886618259855</v>
      </c>
      <c r="E13" s="1">
        <v>823.96999999999991</v>
      </c>
      <c r="F13" s="1"/>
      <c r="G13" s="1"/>
      <c r="H13" s="1">
        <v>257.5966098556184</v>
      </c>
      <c r="I13" s="1">
        <v>32.019287821720027</v>
      </c>
      <c r="J13" s="1">
        <v>17.17271845574388</v>
      </c>
      <c r="K13" s="1">
        <v>0.13333333333333336</v>
      </c>
      <c r="L13" s="1"/>
      <c r="M13" s="1"/>
      <c r="N13" s="1">
        <v>280.20981884057971</v>
      </c>
      <c r="O13" s="1">
        <v>36.607016908212557</v>
      </c>
      <c r="P13" s="1">
        <v>21.788804347826087</v>
      </c>
      <c r="Q13" s="1">
        <v>145.9688888888889</v>
      </c>
      <c r="R13" s="1"/>
      <c r="S13" s="1"/>
      <c r="T13" s="1">
        <v>231.82926229508192</v>
      </c>
      <c r="U13" s="1">
        <v>30.869963570127499</v>
      </c>
      <c r="V13" s="1">
        <v>20.598688524590159</v>
      </c>
      <c r="W13" s="1">
        <v>439.33888888888885</v>
      </c>
      <c r="X13" s="1"/>
      <c r="Y13" s="1"/>
      <c r="Z13" s="1">
        <v>217.98804347826086</v>
      </c>
      <c r="AA13" s="1">
        <v>29.962161835748791</v>
      </c>
      <c r="AB13" s="1">
        <v>18.248768115942028</v>
      </c>
      <c r="AC13" s="1">
        <v>238.52888888888887</v>
      </c>
      <c r="AD13" s="1"/>
    </row>
    <row r="14" spans="1:30" x14ac:dyDescent="0.3">
      <c r="A14" t="s">
        <v>13</v>
      </c>
      <c r="B14" s="1">
        <v>245.3521457278074</v>
      </c>
      <c r="C14" s="1">
        <v>32.074582187622156</v>
      </c>
      <c r="D14" s="1">
        <v>19.506788548710396</v>
      </c>
      <c r="E14" s="1">
        <v>847.81888888888864</v>
      </c>
      <c r="F14" s="1"/>
      <c r="G14" s="1"/>
      <c r="H14" s="1">
        <v>259.10933239171374</v>
      </c>
      <c r="I14" s="1">
        <v>31.547756120527303</v>
      </c>
      <c r="J14" s="1">
        <v>16.716623979912114</v>
      </c>
      <c r="K14" s="1">
        <v>0.12111111111111114</v>
      </c>
      <c r="L14" s="1"/>
      <c r="M14" s="1"/>
      <c r="N14" s="1">
        <v>282.22909420289858</v>
      </c>
      <c r="O14" s="1">
        <v>36.386328502415466</v>
      </c>
      <c r="P14" s="1">
        <v>21.620036231884061</v>
      </c>
      <c r="Q14" s="1">
        <v>142.52555555555557</v>
      </c>
      <c r="R14" s="1"/>
      <c r="S14" s="1"/>
      <c r="T14" s="1">
        <v>231.40693989071042</v>
      </c>
      <c r="U14" s="1">
        <v>30.940792349726774</v>
      </c>
      <c r="V14" s="1">
        <v>20.451867030965388</v>
      </c>
      <c r="W14" s="1">
        <v>454.9755555555555</v>
      </c>
      <c r="X14" s="1"/>
      <c r="Y14" s="1"/>
      <c r="Z14" s="1">
        <v>218.10954106280195</v>
      </c>
      <c r="AA14" s="1">
        <v>29.605881642512074</v>
      </c>
      <c r="AB14" s="1">
        <v>17.936811594202894</v>
      </c>
      <c r="AC14" s="1">
        <v>250.19666666666666</v>
      </c>
      <c r="AD14" s="1"/>
    </row>
    <row r="15" spans="1:30" x14ac:dyDescent="0.3">
      <c r="A15" t="s">
        <v>14</v>
      </c>
      <c r="B15" s="1">
        <v>245.11102710615393</v>
      </c>
      <c r="C15" s="1">
        <v>32.007205737289041</v>
      </c>
      <c r="D15" s="1">
        <v>19.469830775756666</v>
      </c>
      <c r="E15" s="1">
        <v>849.7155555555554</v>
      </c>
      <c r="F15" s="1"/>
      <c r="G15" s="1"/>
      <c r="H15" s="1">
        <v>257.37551004394231</v>
      </c>
      <c r="I15" s="1">
        <v>31.764666352793469</v>
      </c>
      <c r="J15" s="1">
        <v>16.801031387319526</v>
      </c>
      <c r="K15" s="1">
        <v>4.777777777777778E-2</v>
      </c>
      <c r="L15" s="1"/>
      <c r="M15" s="1"/>
      <c r="N15" s="1">
        <v>280.92088164251203</v>
      </c>
      <c r="O15" s="1">
        <v>36.483345410628019</v>
      </c>
      <c r="P15" s="1">
        <v>21.561400966183573</v>
      </c>
      <c r="Q15" s="1">
        <v>139.54666666666668</v>
      </c>
      <c r="R15" s="1"/>
      <c r="S15" s="1"/>
      <c r="T15" s="1">
        <v>232.29002732240437</v>
      </c>
      <c r="U15" s="1">
        <v>30.528752276867035</v>
      </c>
      <c r="V15" s="1">
        <v>20.358597449908928</v>
      </c>
      <c r="W15" s="1">
        <v>479.10999999999996</v>
      </c>
      <c r="X15" s="1"/>
      <c r="Y15" s="1"/>
      <c r="Z15" s="1">
        <v>218.4058816425121</v>
      </c>
      <c r="AA15" s="1">
        <v>29.648212560386476</v>
      </c>
      <c r="AB15" s="1">
        <v>17.918067632850246</v>
      </c>
      <c r="AC15" s="1">
        <v>231.01111111111109</v>
      </c>
      <c r="AD15" s="1"/>
    </row>
    <row r="16" spans="1:30" x14ac:dyDescent="0.3">
      <c r="A16" t="s">
        <v>15</v>
      </c>
      <c r="B16" s="1">
        <v>245.70496826109741</v>
      </c>
      <c r="C16" s="1">
        <v>31.862102294749263</v>
      </c>
      <c r="D16" s="1">
        <v>19.296150119353577</v>
      </c>
      <c r="E16" s="1">
        <v>870.35444444444431</v>
      </c>
      <c r="F16" s="1"/>
      <c r="G16" s="1"/>
      <c r="H16" s="1">
        <v>258.79377055869423</v>
      </c>
      <c r="I16" s="1">
        <v>31.344439108600127</v>
      </c>
      <c r="J16" s="1">
        <v>16.415043000627747</v>
      </c>
      <c r="K16" s="1">
        <v>3.7777777777777771E-2</v>
      </c>
      <c r="L16" s="1"/>
      <c r="M16" s="1"/>
      <c r="N16" s="1">
        <v>282.87562801932364</v>
      </c>
      <c r="O16" s="1">
        <v>36.315555555555562</v>
      </c>
      <c r="P16" s="1">
        <v>21.466231884057972</v>
      </c>
      <c r="Q16" s="1">
        <v>137.67888888888888</v>
      </c>
      <c r="R16" s="1"/>
      <c r="S16" s="1"/>
      <c r="T16" s="1">
        <v>231.85363387978143</v>
      </c>
      <c r="U16" s="1">
        <v>30.645874316939892</v>
      </c>
      <c r="V16" s="1">
        <v>20.276867030965391</v>
      </c>
      <c r="W16" s="1">
        <v>493.54444444444442</v>
      </c>
      <c r="X16" s="1"/>
      <c r="Y16" s="1"/>
      <c r="Z16" s="1">
        <v>218.47481884057976</v>
      </c>
      <c r="AA16" s="1">
        <v>29.355157004830915</v>
      </c>
      <c r="AB16" s="1">
        <v>17.680615942028986</v>
      </c>
      <c r="AC16" s="1">
        <v>239.09333333333331</v>
      </c>
      <c r="AD16" s="1"/>
    </row>
    <row r="17" spans="1:30" x14ac:dyDescent="0.3">
      <c r="A17" t="s">
        <v>16</v>
      </c>
      <c r="B17" s="1">
        <v>245.48547071054887</v>
      </c>
      <c r="C17" s="1">
        <v>31.778559830659315</v>
      </c>
      <c r="D17" s="1">
        <v>19.244317838161543</v>
      </c>
      <c r="E17" s="1">
        <v>859.06777777777779</v>
      </c>
      <c r="F17" s="1"/>
      <c r="G17" s="1"/>
      <c r="H17" s="1">
        <v>257.12665536723165</v>
      </c>
      <c r="I17" s="1">
        <v>31.53743722536095</v>
      </c>
      <c r="J17" s="1">
        <v>16.474733207784052</v>
      </c>
      <c r="K17" s="1">
        <v>3.0000000000000009E-2</v>
      </c>
      <c r="L17" s="1"/>
      <c r="M17" s="1"/>
      <c r="N17" s="1">
        <v>281.49132850241546</v>
      </c>
      <c r="O17" s="1">
        <v>36.399033816425117</v>
      </c>
      <c r="P17" s="1">
        <v>21.436992753623187</v>
      </c>
      <c r="Q17" s="1">
        <v>129.53000000000003</v>
      </c>
      <c r="R17" s="1"/>
      <c r="S17" s="1"/>
      <c r="T17" s="1">
        <v>232.77033697632052</v>
      </c>
      <c r="U17" s="1">
        <v>30.240291438979966</v>
      </c>
      <c r="V17" s="1">
        <v>20.167367941712204</v>
      </c>
      <c r="W17" s="1">
        <v>506.67444444444453</v>
      </c>
      <c r="X17" s="1"/>
      <c r="Y17" s="1"/>
      <c r="Z17" s="1">
        <v>218.84561594202901</v>
      </c>
      <c r="AA17" s="1">
        <v>29.353671497584532</v>
      </c>
      <c r="AB17" s="1">
        <v>17.610845410628016</v>
      </c>
      <c r="AC17" s="1">
        <v>222.83333333333334</v>
      </c>
      <c r="AD17" s="1"/>
    </row>
    <row r="18" spans="1:30" x14ac:dyDescent="0.3">
      <c r="A18" t="s">
        <v>17</v>
      </c>
      <c r="B18" s="1">
        <v>246.02905983481793</v>
      </c>
      <c r="C18" s="1">
        <v>31.78105193336161</v>
      </c>
      <c r="D18" s="1">
        <v>19.228484991391571</v>
      </c>
      <c r="E18" s="1">
        <v>875.31888888888864</v>
      </c>
      <c r="F18" s="1"/>
      <c r="G18" s="1"/>
      <c r="H18" s="1">
        <v>258.44240521029502</v>
      </c>
      <c r="I18" s="1">
        <v>31.263043628374135</v>
      </c>
      <c r="J18" s="1">
        <v>16.248095103578155</v>
      </c>
      <c r="K18" s="1">
        <v>3.2222222222222228E-2</v>
      </c>
      <c r="L18" s="1"/>
      <c r="M18" s="1"/>
      <c r="N18" s="1">
        <v>283.38263285024158</v>
      </c>
      <c r="O18" s="1">
        <v>36.381364734299524</v>
      </c>
      <c r="P18" s="1">
        <v>21.499335748792266</v>
      </c>
      <c r="Q18" s="1">
        <v>128.01555555555558</v>
      </c>
      <c r="R18" s="1"/>
      <c r="S18" s="1"/>
      <c r="T18" s="1">
        <v>232.31596539162112</v>
      </c>
      <c r="U18" s="1">
        <v>30.499435336976319</v>
      </c>
      <c r="V18" s="1">
        <v>20.241803278688526</v>
      </c>
      <c r="W18" s="1">
        <v>519.37111111111108</v>
      </c>
      <c r="X18" s="1"/>
      <c r="Y18" s="1"/>
      <c r="Z18" s="1">
        <v>218.86792270531402</v>
      </c>
      <c r="AA18" s="1">
        <v>29.214214975845412</v>
      </c>
      <c r="AB18" s="1">
        <v>17.532838164251206</v>
      </c>
      <c r="AC18" s="1">
        <v>227.89999999999998</v>
      </c>
      <c r="AD18" s="1"/>
    </row>
    <row r="19" spans="1:30" x14ac:dyDescent="0.3">
      <c r="A19" t="s">
        <v>18</v>
      </c>
      <c r="B19" s="1">
        <v>245.72655246982887</v>
      </c>
      <c r="C19" s="1">
        <v>31.752509502540931</v>
      </c>
      <c r="D19" s="1">
        <v>19.218666467050923</v>
      </c>
      <c r="E19" s="1">
        <v>842.36333333333323</v>
      </c>
      <c r="F19" s="1"/>
      <c r="G19" s="1"/>
      <c r="H19" s="1">
        <v>256.68082956685504</v>
      </c>
      <c r="I19" s="1">
        <v>31.49725455116133</v>
      </c>
      <c r="J19" s="1">
        <v>16.345624293785313</v>
      </c>
      <c r="K19" s="1">
        <v>2.6666666666666668E-2</v>
      </c>
      <c r="L19" s="1"/>
      <c r="M19" s="1"/>
      <c r="N19" s="1">
        <v>281.73571256038645</v>
      </c>
      <c r="O19" s="1">
        <v>36.521086956521728</v>
      </c>
      <c r="P19" s="1">
        <v>21.529178743961353</v>
      </c>
      <c r="Q19" s="1">
        <v>118.16444444444444</v>
      </c>
      <c r="R19" s="1"/>
      <c r="S19" s="1"/>
      <c r="T19" s="1">
        <v>233.22178506375232</v>
      </c>
      <c r="U19" s="1">
        <v>30.173852459016398</v>
      </c>
      <c r="V19" s="1">
        <v>20.181903460837884</v>
      </c>
      <c r="W19" s="1">
        <v>511.53777777777771</v>
      </c>
      <c r="X19" s="1"/>
      <c r="Y19" s="1"/>
      <c r="Z19" s="1">
        <v>219.24688405797099</v>
      </c>
      <c r="AA19" s="1">
        <v>29.24221014492754</v>
      </c>
      <c r="AB19" s="1">
        <v>17.480664251207727</v>
      </c>
      <c r="AC19" s="1">
        <v>212.6344444444444</v>
      </c>
      <c r="AD19" s="1"/>
    </row>
    <row r="20" spans="1:30" x14ac:dyDescent="0.3">
      <c r="A20" t="s">
        <v>19</v>
      </c>
      <c r="B20" s="1">
        <v>246.22183016859219</v>
      </c>
      <c r="C20" s="1">
        <v>31.716460962646902</v>
      </c>
      <c r="D20" s="1">
        <v>19.165244770483483</v>
      </c>
      <c r="E20" s="1">
        <v>853.79444444444437</v>
      </c>
      <c r="F20" s="1"/>
      <c r="G20" s="1"/>
      <c r="H20" s="1">
        <v>257.89589924670435</v>
      </c>
      <c r="I20" s="1">
        <v>31.184606089139987</v>
      </c>
      <c r="J20" s="1">
        <v>16.082946641556809</v>
      </c>
      <c r="K20" s="1">
        <v>3.4444444444444451E-2</v>
      </c>
      <c r="L20" s="1"/>
      <c r="M20" s="1"/>
      <c r="N20" s="1">
        <v>283.56245169082126</v>
      </c>
      <c r="O20" s="1">
        <v>36.471243961352648</v>
      </c>
      <c r="P20" s="1">
        <v>21.548816425120769</v>
      </c>
      <c r="Q20" s="1">
        <v>116.01222222222223</v>
      </c>
      <c r="R20" s="1"/>
      <c r="S20" s="1"/>
      <c r="T20" s="1">
        <v>232.74359744990892</v>
      </c>
      <c r="U20" s="1">
        <v>30.387805100182149</v>
      </c>
      <c r="V20" s="1">
        <v>20.220673952641164</v>
      </c>
      <c r="W20" s="1">
        <v>521.95555555555563</v>
      </c>
      <c r="X20" s="1"/>
      <c r="Y20" s="1"/>
      <c r="Z20" s="1">
        <v>219.23835748792266</v>
      </c>
      <c r="AA20" s="1">
        <v>29.06648550724638</v>
      </c>
      <c r="AB20" s="1">
        <v>17.366630434782607</v>
      </c>
      <c r="AC20" s="1">
        <v>215.79222222222222</v>
      </c>
      <c r="AD20" s="1"/>
    </row>
    <row r="21" spans="1:30" x14ac:dyDescent="0.3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3">
      <c r="A22" t="s">
        <v>20</v>
      </c>
      <c r="B22" s="1">
        <v>243.77313208739841</v>
      </c>
      <c r="C22" s="1">
        <v>32.173836215285569</v>
      </c>
      <c r="D22" s="1">
        <v>20.573173649058894</v>
      </c>
      <c r="E22" s="1">
        <v>846.45222222222208</v>
      </c>
      <c r="F22" s="1"/>
      <c r="G22" s="1"/>
      <c r="H22" s="1">
        <v>254.71839171374768</v>
      </c>
      <c r="I22" s="1">
        <v>31.858299121155046</v>
      </c>
      <c r="J22" s="1">
        <v>17.99154896421846</v>
      </c>
      <c r="K22" s="1">
        <v>5.7777777777777782E-2</v>
      </c>
      <c r="L22" s="1"/>
      <c r="M22" s="1"/>
      <c r="N22" s="1">
        <v>281.2818961352657</v>
      </c>
      <c r="O22" s="1">
        <v>36.511835748792272</v>
      </c>
      <c r="P22" s="1">
        <v>22.302536231884062</v>
      </c>
      <c r="Q22" s="1">
        <v>150.85777777777781</v>
      </c>
      <c r="R22" s="1"/>
      <c r="S22" s="1"/>
      <c r="T22" s="1">
        <v>230.47195810564665</v>
      </c>
      <c r="U22" s="1">
        <v>30.798132969034604</v>
      </c>
      <c r="V22" s="1">
        <v>21.288551912568305</v>
      </c>
      <c r="W22" s="1">
        <v>426.42888888888888</v>
      </c>
      <c r="X22" s="1"/>
      <c r="Y22" s="1"/>
      <c r="Z22" s="1">
        <v>216.85474637681159</v>
      </c>
      <c r="AA22" s="1">
        <v>29.862246376811591</v>
      </c>
      <c r="AB22" s="1">
        <v>19.555748792270531</v>
      </c>
      <c r="AC22" s="1">
        <v>269.1077777777777</v>
      </c>
      <c r="AD22" s="1"/>
    </row>
    <row r="23" spans="1:30" x14ac:dyDescent="0.3">
      <c r="A23" t="s">
        <v>21</v>
      </c>
      <c r="B23" s="1">
        <v>244.27764583177381</v>
      </c>
      <c r="C23" s="1">
        <v>31.976841671449126</v>
      </c>
      <c r="D23" s="1">
        <v>20.320476358010826</v>
      </c>
      <c r="E23" s="1">
        <v>869.89333333333332</v>
      </c>
      <c r="F23" s="1"/>
      <c r="G23" s="1"/>
      <c r="H23" s="1">
        <v>256.08926428123033</v>
      </c>
      <c r="I23" s="1">
        <v>31.361401129943506</v>
      </c>
      <c r="J23" s="1">
        <v>17.568494350282485</v>
      </c>
      <c r="K23" s="1">
        <v>5.7777777777777782E-2</v>
      </c>
      <c r="L23" s="1"/>
      <c r="M23" s="1"/>
      <c r="N23" s="1">
        <v>283.20910628019317</v>
      </c>
      <c r="O23" s="1">
        <v>36.299927536231884</v>
      </c>
      <c r="P23" s="1">
        <v>22.084420289855071</v>
      </c>
      <c r="Q23" s="1">
        <v>145.86000000000001</v>
      </c>
      <c r="R23" s="1"/>
      <c r="S23" s="1"/>
      <c r="T23" s="1">
        <v>229.87560109289618</v>
      </c>
      <c r="U23" s="1">
        <v>30.878342440801458</v>
      </c>
      <c r="V23" s="1">
        <v>21.109061930783245</v>
      </c>
      <c r="W23" s="1">
        <v>440.41111111111115</v>
      </c>
      <c r="X23" s="1"/>
      <c r="Y23" s="1"/>
      <c r="Z23" s="1">
        <v>216.83832125603865</v>
      </c>
      <c r="AA23" s="1">
        <v>29.50566425120773</v>
      </c>
      <c r="AB23" s="1">
        <v>19.281086956521744</v>
      </c>
      <c r="AC23" s="1">
        <v>283.56444444444446</v>
      </c>
      <c r="AD23" s="1"/>
    </row>
    <row r="24" spans="1:30" x14ac:dyDescent="0.3">
      <c r="A24" t="s">
        <v>22</v>
      </c>
      <c r="B24" s="1">
        <v>244.22774603887521</v>
      </c>
      <c r="C24" s="1">
        <v>31.913178007335873</v>
      </c>
      <c r="D24" s="1">
        <v>20.26589471933195</v>
      </c>
      <c r="E24" s="1">
        <v>868.87333333333311</v>
      </c>
      <c r="F24" s="1"/>
      <c r="G24" s="1"/>
      <c r="H24" s="1">
        <v>254.67074921531699</v>
      </c>
      <c r="I24" s="1">
        <v>31.612401757689895</v>
      </c>
      <c r="J24" s="1">
        <v>17.627753609541745</v>
      </c>
      <c r="K24" s="1">
        <v>3.1111111111111114E-2</v>
      </c>
      <c r="L24" s="1"/>
      <c r="M24" s="1"/>
      <c r="N24" s="1">
        <v>282.11045893719802</v>
      </c>
      <c r="O24" s="1">
        <v>36.413345410628018</v>
      </c>
      <c r="P24" s="1">
        <v>22.025471014492755</v>
      </c>
      <c r="Q24" s="1">
        <v>143.91333333333333</v>
      </c>
      <c r="R24" s="1"/>
      <c r="S24" s="1"/>
      <c r="T24" s="1">
        <v>230.8355919854281</v>
      </c>
      <c r="U24" s="1">
        <v>30.450455373406196</v>
      </c>
      <c r="V24" s="1">
        <v>21.021493624772308</v>
      </c>
      <c r="W24" s="1">
        <v>464.59666666666664</v>
      </c>
      <c r="X24" s="1"/>
      <c r="Y24" s="1"/>
      <c r="Z24" s="1">
        <v>217.37961352657001</v>
      </c>
      <c r="AA24" s="1">
        <v>29.545265700483089</v>
      </c>
      <c r="AB24" s="1">
        <v>19.201219806763291</v>
      </c>
      <c r="AC24" s="1">
        <v>260.33222222222219</v>
      </c>
      <c r="AD24" s="1"/>
    </row>
    <row r="25" spans="1:30" x14ac:dyDescent="0.3">
      <c r="A25" t="s">
        <v>23</v>
      </c>
      <c r="B25" s="1">
        <v>244.68378602856168</v>
      </c>
      <c r="C25" s="1">
        <v>31.769799020219402</v>
      </c>
      <c r="D25" s="1">
        <v>20.082215094276858</v>
      </c>
      <c r="E25" s="1">
        <v>888.662222222222</v>
      </c>
      <c r="F25" s="1"/>
      <c r="G25" s="1"/>
      <c r="H25" s="1">
        <v>255.95352416823602</v>
      </c>
      <c r="I25" s="1">
        <v>31.168916509730067</v>
      </c>
      <c r="J25" s="1">
        <v>17.276629315756438</v>
      </c>
      <c r="K25" s="1">
        <v>2.3333333333333331E-2</v>
      </c>
      <c r="L25" s="1"/>
      <c r="M25" s="1"/>
      <c r="N25" s="1">
        <v>283.95805555555557</v>
      </c>
      <c r="O25" s="1">
        <v>36.253647342995173</v>
      </c>
      <c r="P25" s="1">
        <v>21.877717391304348</v>
      </c>
      <c r="Q25" s="1">
        <v>140.04888888888888</v>
      </c>
      <c r="R25" s="1"/>
      <c r="S25" s="1"/>
      <c r="T25" s="1">
        <v>230.2315755919854</v>
      </c>
      <c r="U25" s="1">
        <v>30.578451730418937</v>
      </c>
      <c r="V25" s="1">
        <v>20.907067395264118</v>
      </c>
      <c r="W25" s="1">
        <v>477.97333333333336</v>
      </c>
      <c r="X25" s="1"/>
      <c r="Y25" s="1"/>
      <c r="Z25" s="1">
        <v>217.31725845410628</v>
      </c>
      <c r="AA25" s="1">
        <v>29.251557971014492</v>
      </c>
      <c r="AB25" s="1">
        <v>18.997596618357491</v>
      </c>
      <c r="AC25" s="1">
        <v>270.61666666666662</v>
      </c>
      <c r="AD25" s="1"/>
    </row>
    <row r="26" spans="1:30" x14ac:dyDescent="0.3">
      <c r="A26" t="s">
        <v>24</v>
      </c>
      <c r="B26" s="1">
        <v>244.61832400961481</v>
      </c>
      <c r="C26" s="1">
        <v>31.682700784323508</v>
      </c>
      <c r="D26" s="1">
        <v>19.986002112599905</v>
      </c>
      <c r="E26" s="1">
        <v>872.74666666666644</v>
      </c>
      <c r="F26" s="1"/>
      <c r="G26" s="1"/>
      <c r="H26" s="1">
        <v>254.5166497175141</v>
      </c>
      <c r="I26" s="1">
        <v>31.380790018832393</v>
      </c>
      <c r="J26" s="1">
        <v>17.284893596986819</v>
      </c>
      <c r="K26" s="1">
        <v>1.2222222222222221E-2</v>
      </c>
      <c r="L26" s="1"/>
      <c r="M26" s="1"/>
      <c r="N26" s="1">
        <v>282.7802898550724</v>
      </c>
      <c r="O26" s="1">
        <v>36.354637681159424</v>
      </c>
      <c r="P26" s="1">
        <v>21.791352657004833</v>
      </c>
      <c r="Q26" s="1">
        <v>131.46555555555557</v>
      </c>
      <c r="R26" s="1"/>
      <c r="S26" s="1"/>
      <c r="T26" s="1">
        <v>231.16500910746814</v>
      </c>
      <c r="U26" s="1">
        <v>30.143989071038245</v>
      </c>
      <c r="V26" s="1">
        <v>20.794162112932604</v>
      </c>
      <c r="W26" s="1">
        <v>490.80333333333328</v>
      </c>
      <c r="X26" s="1"/>
      <c r="Y26" s="1"/>
      <c r="Z26" s="1">
        <v>217.92310386473432</v>
      </c>
      <c r="AA26" s="1">
        <v>29.244541062801929</v>
      </c>
      <c r="AB26" s="1">
        <v>18.846304347826088</v>
      </c>
      <c r="AC26" s="1">
        <v>250.46555555555557</v>
      </c>
      <c r="AD26" s="1"/>
    </row>
    <row r="27" spans="1:30" x14ac:dyDescent="0.3">
      <c r="A27" t="s">
        <v>25</v>
      </c>
      <c r="B27" s="1">
        <v>245.0230265239413</v>
      </c>
      <c r="C27" s="1">
        <v>31.686305778043927</v>
      </c>
      <c r="D27" s="1">
        <v>19.955422428491815</v>
      </c>
      <c r="E27" s="1">
        <v>888.08555555555529</v>
      </c>
      <c r="F27" s="1"/>
      <c r="G27" s="1"/>
      <c r="H27" s="1">
        <v>255.70407815442559</v>
      </c>
      <c r="I27" s="1">
        <v>31.086574387947273</v>
      </c>
      <c r="J27" s="1">
        <v>17.089610169491525</v>
      </c>
      <c r="K27" s="1">
        <v>0.01</v>
      </c>
      <c r="L27" s="1"/>
      <c r="M27" s="1"/>
      <c r="N27" s="1">
        <v>284.5393478260869</v>
      </c>
      <c r="O27" s="1">
        <v>36.340229468599048</v>
      </c>
      <c r="P27" s="1">
        <v>21.79385265700483</v>
      </c>
      <c r="Q27" s="1">
        <v>128.09</v>
      </c>
      <c r="R27" s="1"/>
      <c r="S27" s="1"/>
      <c r="T27" s="1">
        <v>230.54446265938071</v>
      </c>
      <c r="U27" s="1">
        <v>30.41474499089253</v>
      </c>
      <c r="V27" s="1">
        <v>20.836156648451734</v>
      </c>
      <c r="W27" s="1">
        <v>502.95444444444445</v>
      </c>
      <c r="X27" s="1"/>
      <c r="Y27" s="1"/>
      <c r="Z27" s="1">
        <v>217.82880434782612</v>
      </c>
      <c r="AA27" s="1">
        <v>29.103635265700486</v>
      </c>
      <c r="AB27" s="1">
        <v>18.792451690821256</v>
      </c>
      <c r="AC27" s="1">
        <v>257.0311111111111</v>
      </c>
      <c r="AD27" s="1"/>
    </row>
    <row r="28" spans="1:30" x14ac:dyDescent="0.3">
      <c r="A28" t="s">
        <v>26</v>
      </c>
      <c r="B28" s="1">
        <v>244.82502283105021</v>
      </c>
      <c r="C28" s="1">
        <v>31.650577147324725</v>
      </c>
      <c r="D28" s="1">
        <v>19.901948998178501</v>
      </c>
      <c r="E28" s="1">
        <v>852.09999999999991</v>
      </c>
      <c r="F28" s="1"/>
      <c r="G28" s="1"/>
      <c r="H28" s="1">
        <v>254.0832209667295</v>
      </c>
      <c r="I28" s="1">
        <v>31.324143440050225</v>
      </c>
      <c r="J28" s="1">
        <v>17.134515693659765</v>
      </c>
      <c r="K28" s="1">
        <v>8.8888888888888889E-3</v>
      </c>
      <c r="L28" s="1"/>
      <c r="M28" s="1"/>
      <c r="N28" s="1">
        <v>283.1004347826086</v>
      </c>
      <c r="O28" s="1">
        <v>36.502475845410629</v>
      </c>
      <c r="P28" s="1">
        <v>21.769154589371979</v>
      </c>
      <c r="Q28" s="1">
        <v>116.91888888888889</v>
      </c>
      <c r="R28" s="1"/>
      <c r="S28" s="1"/>
      <c r="T28" s="1">
        <v>231.40625683060111</v>
      </c>
      <c r="U28" s="1">
        <v>30.05554644808743</v>
      </c>
      <c r="V28" s="1">
        <v>20.768415300546451</v>
      </c>
      <c r="W28" s="1">
        <v>496.1733333333334</v>
      </c>
      <c r="X28" s="1"/>
      <c r="Y28" s="1"/>
      <c r="Z28" s="1">
        <v>218.3830797101449</v>
      </c>
      <c r="AA28" s="1">
        <v>29.122971014492755</v>
      </c>
      <c r="AB28" s="1">
        <v>18.665712560386471</v>
      </c>
      <c r="AC28" s="1">
        <v>238.99888888888893</v>
      </c>
      <c r="AD28" s="1"/>
    </row>
    <row r="29" spans="1:30" x14ac:dyDescent="0.3">
      <c r="A29" t="s">
        <v>27</v>
      </c>
      <c r="B29" s="1">
        <v>245.17589541798705</v>
      </c>
      <c r="C29" s="1">
        <v>31.614628016069055</v>
      </c>
      <c r="D29" s="1">
        <v>19.827458034949391</v>
      </c>
      <c r="E29" s="1">
        <v>863.21888888888884</v>
      </c>
      <c r="F29" s="1"/>
      <c r="G29" s="1"/>
      <c r="H29" s="1">
        <v>255.16534620213426</v>
      </c>
      <c r="I29" s="1">
        <v>30.994731638418077</v>
      </c>
      <c r="J29" s="1">
        <v>16.895435028248585</v>
      </c>
      <c r="K29" s="1">
        <v>1.0000000000000002E-2</v>
      </c>
      <c r="L29" s="1"/>
      <c r="M29" s="1"/>
      <c r="N29" s="1">
        <v>284.76894927536227</v>
      </c>
      <c r="O29" s="1">
        <v>36.449613526570047</v>
      </c>
      <c r="P29" s="1">
        <v>21.720591787439616</v>
      </c>
      <c r="Q29" s="1">
        <v>113.54333333333335</v>
      </c>
      <c r="R29" s="1"/>
      <c r="S29" s="1"/>
      <c r="T29" s="1">
        <v>230.75652094717668</v>
      </c>
      <c r="U29" s="1">
        <v>30.281666666666663</v>
      </c>
      <c r="V29" s="1">
        <v>20.775400728597447</v>
      </c>
      <c r="W29" s="1">
        <v>506.61222222222227</v>
      </c>
      <c r="X29" s="1"/>
      <c r="Y29" s="1"/>
      <c r="Z29" s="1">
        <v>218.27212560386474</v>
      </c>
      <c r="AA29" s="1">
        <v>28.945338164251211</v>
      </c>
      <c r="AB29" s="1">
        <v>18.563212560386475</v>
      </c>
      <c r="AC29" s="1">
        <v>243.05333333333328</v>
      </c>
      <c r="AD29" s="1"/>
    </row>
    <row r="32" spans="1:30" x14ac:dyDescent="0.3">
      <c r="A32" t="s">
        <v>10</v>
      </c>
      <c r="B32" t="s">
        <v>0</v>
      </c>
      <c r="C32" t="s">
        <v>1</v>
      </c>
      <c r="D32" t="s">
        <v>2</v>
      </c>
      <c r="E32" t="s">
        <v>3</v>
      </c>
      <c r="G32" t="s">
        <v>6</v>
      </c>
      <c r="H32" t="s">
        <v>0</v>
      </c>
      <c r="I32" t="s">
        <v>1</v>
      </c>
      <c r="J32" t="s">
        <v>2</v>
      </c>
      <c r="K32" t="s">
        <v>3</v>
      </c>
      <c r="M32" t="s">
        <v>7</v>
      </c>
      <c r="N32" t="s">
        <v>0</v>
      </c>
      <c r="O32" t="s">
        <v>1</v>
      </c>
      <c r="P32" t="s">
        <v>2</v>
      </c>
      <c r="Q32" t="s">
        <v>3</v>
      </c>
      <c r="S32" t="s">
        <v>5</v>
      </c>
      <c r="T32" t="s">
        <v>0</v>
      </c>
      <c r="U32" t="s">
        <v>1</v>
      </c>
      <c r="V32" t="s">
        <v>2</v>
      </c>
      <c r="W32" t="s">
        <v>3</v>
      </c>
      <c r="Y32" t="s">
        <v>8</v>
      </c>
      <c r="Z32" t="s">
        <v>0</v>
      </c>
      <c r="AA32" t="s">
        <v>1</v>
      </c>
      <c r="AB32" t="s">
        <v>2</v>
      </c>
      <c r="AC32" t="s">
        <v>3</v>
      </c>
    </row>
    <row r="33" spans="1:29" x14ac:dyDescent="0.3">
      <c r="A33" t="s">
        <v>12</v>
      </c>
      <c r="B33" s="1">
        <v>246.82634114080398</v>
      </c>
      <c r="C33" s="1">
        <v>32.854809177333635</v>
      </c>
      <c r="D33" s="1">
        <v>20.251661411782329</v>
      </c>
      <c r="E33" s="1">
        <v>808.26900000000001</v>
      </c>
      <c r="F33" s="1"/>
      <c r="G33" s="1"/>
      <c r="H33" s="1">
        <v>256.29105338983055</v>
      </c>
      <c r="I33" s="1">
        <v>32.410583898305092</v>
      </c>
      <c r="J33" s="1">
        <v>17.759659039548023</v>
      </c>
      <c r="K33" s="1">
        <v>0.11200000000000002</v>
      </c>
      <c r="L33" s="1"/>
      <c r="M33" s="1"/>
      <c r="N33" s="1">
        <v>282.96872826086963</v>
      </c>
      <c r="O33" s="1">
        <v>37.116467391304354</v>
      </c>
      <c r="P33" s="1">
        <v>22.153565217391296</v>
      </c>
      <c r="Q33" s="1">
        <v>152.232</v>
      </c>
      <c r="R33" s="1"/>
      <c r="S33" s="1"/>
      <c r="T33" s="1">
        <v>234.32799999999997</v>
      </c>
      <c r="U33" s="1">
        <v>31.529590163934422</v>
      </c>
      <c r="V33" s="1">
        <v>21.174959016393448</v>
      </c>
      <c r="W33" s="1">
        <v>456.38</v>
      </c>
      <c r="X33" s="1"/>
      <c r="Y33" s="1"/>
      <c r="Z33" s="1">
        <v>217.93827294685991</v>
      </c>
      <c r="AA33" s="1">
        <v>29.9237077294686</v>
      </c>
      <c r="AB33" s="1">
        <v>18.225748792270529</v>
      </c>
      <c r="AC33" s="1">
        <v>246.11333333333329</v>
      </c>
    </row>
    <row r="34" spans="1:29" x14ac:dyDescent="0.3">
      <c r="A34" t="s">
        <v>13</v>
      </c>
      <c r="B34" s="1">
        <v>247.55381129575562</v>
      </c>
      <c r="C34" s="1">
        <v>32.658071726925662</v>
      </c>
      <c r="D34" s="1">
        <v>19.994986885245904</v>
      </c>
      <c r="E34" s="1">
        <v>827.39200000000017</v>
      </c>
      <c r="F34" s="1"/>
      <c r="G34" s="1"/>
      <c r="H34" s="1">
        <v>257.87757259887002</v>
      </c>
      <c r="I34" s="1">
        <v>31.928929943502823</v>
      </c>
      <c r="J34" s="1">
        <v>17.285373163841808</v>
      </c>
      <c r="K34" s="1">
        <v>0.11500000000000002</v>
      </c>
      <c r="L34" s="1"/>
      <c r="M34" s="1"/>
      <c r="N34" s="1">
        <v>285.00828260869571</v>
      </c>
      <c r="O34" s="1">
        <v>36.876369565217381</v>
      </c>
      <c r="P34" s="1">
        <v>21.956152173913043</v>
      </c>
      <c r="Q34" s="1">
        <v>148.77799999999999</v>
      </c>
      <c r="R34" s="1"/>
      <c r="S34" s="1"/>
      <c r="T34" s="1">
        <v>234.05970491803276</v>
      </c>
      <c r="U34" s="1">
        <v>31.612950819672129</v>
      </c>
      <c r="V34" s="1">
        <v>21.03298360655738</v>
      </c>
      <c r="W34" s="1">
        <v>473.70555555555558</v>
      </c>
      <c r="X34" s="1"/>
      <c r="Y34" s="1"/>
      <c r="Z34" s="1">
        <v>218.04388888888892</v>
      </c>
      <c r="AA34" s="1">
        <v>29.569359903381649</v>
      </c>
      <c r="AB34" s="1">
        <v>17.911944444444444</v>
      </c>
      <c r="AC34" s="1">
        <v>257.08222222222219</v>
      </c>
    </row>
    <row r="35" spans="1:29" x14ac:dyDescent="0.3">
      <c r="A35" t="s">
        <v>14</v>
      </c>
      <c r="B35" s="1">
        <v>247.30556430122016</v>
      </c>
      <c r="C35" s="1">
        <v>32.598273912718014</v>
      </c>
      <c r="D35" s="1">
        <v>19.976049262669367</v>
      </c>
      <c r="E35" s="1">
        <v>832.8309999999999</v>
      </c>
      <c r="F35" s="1"/>
      <c r="G35" s="1"/>
      <c r="H35" s="1">
        <v>256.00375564971745</v>
      </c>
      <c r="I35" s="1">
        <v>32.150765254237292</v>
      </c>
      <c r="J35" s="1">
        <v>17.385444350282491</v>
      </c>
      <c r="K35" s="1">
        <v>6.0000000000000012E-2</v>
      </c>
      <c r="L35" s="1"/>
      <c r="M35" s="1"/>
      <c r="N35" s="1">
        <v>283.68127173913041</v>
      </c>
      <c r="O35" s="1">
        <v>37.003510869565218</v>
      </c>
      <c r="P35" s="1">
        <v>21.938510869565214</v>
      </c>
      <c r="Q35" s="1">
        <v>145.001</v>
      </c>
      <c r="R35" s="1"/>
      <c r="S35" s="1"/>
      <c r="T35" s="1">
        <v>234.92426229508197</v>
      </c>
      <c r="U35" s="1">
        <v>31.210385245901648</v>
      </c>
      <c r="V35" s="1">
        <v>20.945819672131144</v>
      </c>
      <c r="W35" s="1">
        <v>496.86222222222216</v>
      </c>
      <c r="X35" s="1"/>
      <c r="Y35" s="1"/>
      <c r="Z35" s="1">
        <v>218.31695652173914</v>
      </c>
      <c r="AA35" s="1">
        <v>29.608852657004832</v>
      </c>
      <c r="AB35" s="1">
        <v>17.894830917874398</v>
      </c>
      <c r="AC35" s="1">
        <v>238.43999999999994</v>
      </c>
    </row>
    <row r="36" spans="1:29" x14ac:dyDescent="0.3">
      <c r="A36" t="s">
        <v>15</v>
      </c>
      <c r="B36" s="1">
        <v>247.99035504154509</v>
      </c>
      <c r="C36" s="1">
        <v>32.45336670409462</v>
      </c>
      <c r="D36" s="1">
        <v>19.788841814507077</v>
      </c>
      <c r="E36" s="1">
        <v>849.33199999999977</v>
      </c>
      <c r="F36" s="1"/>
      <c r="G36" s="1"/>
      <c r="H36" s="1">
        <v>257.49346610169493</v>
      </c>
      <c r="I36" s="1">
        <v>31.721629661016948</v>
      </c>
      <c r="J36" s="1">
        <v>16.984240960451977</v>
      </c>
      <c r="K36" s="1">
        <v>6.0000000000000012E-2</v>
      </c>
      <c r="L36" s="1"/>
      <c r="M36" s="1"/>
      <c r="N36" s="1">
        <v>285.6539239130434</v>
      </c>
      <c r="O36" s="1">
        <v>36.811076086956518</v>
      </c>
      <c r="P36" s="1">
        <v>21.807750000000006</v>
      </c>
      <c r="Q36" s="1">
        <v>143.119</v>
      </c>
      <c r="R36" s="1"/>
      <c r="S36" s="1"/>
      <c r="T36" s="1">
        <v>234.65604098360654</v>
      </c>
      <c r="U36" s="1">
        <v>31.340639344262293</v>
      </c>
      <c r="V36" s="1">
        <v>20.870622950819673</v>
      </c>
      <c r="W36" s="1">
        <v>512.83777777777777</v>
      </c>
      <c r="X36" s="1"/>
      <c r="Y36" s="1"/>
      <c r="Z36" s="1">
        <v>218.37219806763289</v>
      </c>
      <c r="AA36" s="1">
        <v>29.318103864734294</v>
      </c>
      <c r="AB36" s="1">
        <v>17.655132850241543</v>
      </c>
      <c r="AC36" s="1">
        <v>245.67333333333337</v>
      </c>
    </row>
    <row r="37" spans="1:29" x14ac:dyDescent="0.3">
      <c r="A37" t="s">
        <v>16</v>
      </c>
      <c r="B37" s="1">
        <v>247.72831557751329</v>
      </c>
      <c r="C37" s="1">
        <v>32.375070274721161</v>
      </c>
      <c r="D37" s="1">
        <v>19.756115270604081</v>
      </c>
      <c r="E37" s="1">
        <v>840.39599999999996</v>
      </c>
      <c r="F37" s="1"/>
      <c r="G37" s="1"/>
      <c r="H37" s="1">
        <v>255.6849850282486</v>
      </c>
      <c r="I37" s="1">
        <v>31.919193220338986</v>
      </c>
      <c r="J37" s="1">
        <v>17.059258757062146</v>
      </c>
      <c r="K37" s="1">
        <v>6.9000000000000006E-2</v>
      </c>
      <c r="L37" s="1"/>
      <c r="M37" s="1"/>
      <c r="N37" s="1">
        <v>284.27873913043476</v>
      </c>
      <c r="O37" s="1">
        <v>36.93016304347826</v>
      </c>
      <c r="P37" s="1">
        <v>21.833010869565221</v>
      </c>
      <c r="Q37" s="1">
        <v>133.31099999999998</v>
      </c>
      <c r="R37" s="1"/>
      <c r="S37" s="1"/>
      <c r="T37" s="1">
        <v>235.44482786885246</v>
      </c>
      <c r="U37" s="1">
        <v>30.935131147540982</v>
      </c>
      <c r="V37" s="1">
        <v>20.760557377049185</v>
      </c>
      <c r="W37" s="1">
        <v>524.96</v>
      </c>
      <c r="X37" s="1"/>
      <c r="Y37" s="1"/>
      <c r="Z37" s="1">
        <v>218.72483091787444</v>
      </c>
      <c r="AA37" s="1">
        <v>29.313260869565212</v>
      </c>
      <c r="AB37" s="1">
        <v>17.586280193236714</v>
      </c>
      <c r="AC37" s="1">
        <v>230.37111111111113</v>
      </c>
    </row>
    <row r="38" spans="1:29" x14ac:dyDescent="0.3">
      <c r="A38" t="s">
        <v>17</v>
      </c>
      <c r="B38" s="1">
        <v>248.36773947151727</v>
      </c>
      <c r="C38" s="1">
        <v>32.377083846096262</v>
      </c>
      <c r="D38" s="1">
        <v>19.7257841230631</v>
      </c>
      <c r="E38" s="1">
        <v>853.26299999999992</v>
      </c>
      <c r="F38" s="1"/>
      <c r="G38" s="1"/>
      <c r="H38" s="1">
        <v>257.06340282485877</v>
      </c>
      <c r="I38" s="1">
        <v>31.640558474576274</v>
      </c>
      <c r="J38" s="1">
        <v>16.821220903954803</v>
      </c>
      <c r="K38" s="1">
        <v>8.199999999999999E-2</v>
      </c>
      <c r="L38" s="1"/>
      <c r="M38" s="1"/>
      <c r="N38" s="1">
        <v>286.18435869565218</v>
      </c>
      <c r="O38" s="1">
        <v>36.883532608695653</v>
      </c>
      <c r="P38" s="1">
        <v>21.853304347826089</v>
      </c>
      <c r="Q38" s="1">
        <v>132.34800000000001</v>
      </c>
      <c r="R38" s="1"/>
      <c r="S38" s="1"/>
      <c r="T38" s="1">
        <v>235.17106557377042</v>
      </c>
      <c r="U38" s="1">
        <v>31.207467213114757</v>
      </c>
      <c r="V38" s="1">
        <v>20.842196721311481</v>
      </c>
      <c r="W38" s="1">
        <v>539.04666666666662</v>
      </c>
      <c r="X38" s="1"/>
      <c r="Y38" s="1"/>
      <c r="Z38" s="1">
        <v>218.73898550724638</v>
      </c>
      <c r="AA38" s="1">
        <v>29.176497584541064</v>
      </c>
      <c r="AB38" s="1">
        <v>17.505821256038647</v>
      </c>
      <c r="AC38" s="1">
        <v>234.44111111111104</v>
      </c>
    </row>
    <row r="39" spans="1:29" x14ac:dyDescent="0.3">
      <c r="A39" t="s">
        <v>18</v>
      </c>
      <c r="B39" s="1">
        <v>247.99142202260651</v>
      </c>
      <c r="C39" s="1">
        <v>32.352563230780753</v>
      </c>
      <c r="D39" s="1">
        <v>19.73455730967887</v>
      </c>
      <c r="E39" s="1">
        <v>824.64299999999969</v>
      </c>
      <c r="F39" s="1"/>
      <c r="G39" s="1"/>
      <c r="H39" s="1">
        <v>255.2295511299435</v>
      </c>
      <c r="I39" s="1">
        <v>31.876598587570623</v>
      </c>
      <c r="J39" s="1">
        <v>16.923452259887007</v>
      </c>
      <c r="K39" s="1">
        <v>8.3999999999999991E-2</v>
      </c>
      <c r="L39" s="1"/>
      <c r="M39" s="1"/>
      <c r="N39" s="1">
        <v>284.56380434782608</v>
      </c>
      <c r="O39" s="1">
        <v>37.061989130434782</v>
      </c>
      <c r="P39" s="1">
        <v>21.944923913043475</v>
      </c>
      <c r="Q39" s="1">
        <v>119.774</v>
      </c>
      <c r="R39" s="1"/>
      <c r="S39" s="1"/>
      <c r="T39" s="1">
        <v>235.85717213114762</v>
      </c>
      <c r="U39" s="1">
        <v>30.87688524590164</v>
      </c>
      <c r="V39" s="1">
        <v>20.775893442622948</v>
      </c>
      <c r="W39" s="1">
        <v>529.68555555555542</v>
      </c>
      <c r="X39" s="1"/>
      <c r="Y39" s="1"/>
      <c r="Z39" s="1">
        <v>219.09625603864731</v>
      </c>
      <c r="AA39" s="1">
        <v>29.200760869565222</v>
      </c>
      <c r="AB39" s="1">
        <v>17.454927536231885</v>
      </c>
      <c r="AC39" s="1">
        <v>220.63333333333333</v>
      </c>
    </row>
    <row r="40" spans="1:29" x14ac:dyDescent="0.3">
      <c r="A40" t="s">
        <v>19</v>
      </c>
      <c r="B40" s="1">
        <v>248.57794460663231</v>
      </c>
      <c r="C40" s="1">
        <v>32.315544299723044</v>
      </c>
      <c r="D40" s="1">
        <v>19.666310689422858</v>
      </c>
      <c r="E40" s="1">
        <v>833.85299999999984</v>
      </c>
      <c r="F40" s="1"/>
      <c r="G40" s="1"/>
      <c r="H40" s="1">
        <v>256.48980310734458</v>
      </c>
      <c r="I40" s="1">
        <v>31.565680508474571</v>
      </c>
      <c r="J40" s="1">
        <v>16.654488700564976</v>
      </c>
      <c r="K40" s="1">
        <v>0.11700000000000002</v>
      </c>
      <c r="L40" s="1"/>
      <c r="M40" s="1"/>
      <c r="N40" s="1">
        <v>286.39157608695643</v>
      </c>
      <c r="O40" s="1">
        <v>36.978445652173917</v>
      </c>
      <c r="P40" s="1">
        <v>21.918880434782604</v>
      </c>
      <c r="Q40" s="1">
        <v>119.10500000000002</v>
      </c>
      <c r="R40" s="1"/>
      <c r="S40" s="1"/>
      <c r="T40" s="1">
        <v>235.55990163934425</v>
      </c>
      <c r="U40" s="1">
        <v>31.103549180327871</v>
      </c>
      <c r="V40" s="1">
        <v>20.821557377049182</v>
      </c>
      <c r="W40" s="1">
        <v>541.31000000000006</v>
      </c>
      <c r="X40" s="1"/>
      <c r="Y40" s="1"/>
      <c r="Z40" s="1">
        <v>219.08671497584538</v>
      </c>
      <c r="AA40" s="1">
        <v>29.02778985507247</v>
      </c>
      <c r="AB40" s="1">
        <v>17.338285024154587</v>
      </c>
      <c r="AC40" s="1">
        <v>222.68444444444447</v>
      </c>
    </row>
    <row r="41" spans="1:29" x14ac:dyDescent="0.3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3">
      <c r="A42" t="s">
        <v>20</v>
      </c>
      <c r="B42" s="1">
        <v>246.70296955610456</v>
      </c>
      <c r="C42" s="1">
        <v>33.040463455348458</v>
      </c>
      <c r="D42" s="1">
        <v>21.42289931881129</v>
      </c>
      <c r="E42" s="1">
        <v>913.83400000000006</v>
      </c>
      <c r="F42" s="1"/>
      <c r="G42" s="1"/>
      <c r="H42" s="1">
        <v>254.49035282485875</v>
      </c>
      <c r="I42" s="1">
        <v>32.638678248587567</v>
      </c>
      <c r="J42" s="1">
        <v>19.214243502824861</v>
      </c>
      <c r="K42" s="1">
        <v>0.23199999999999993</v>
      </c>
      <c r="L42" s="1"/>
      <c r="M42" s="1"/>
      <c r="N42" s="1">
        <v>283.62684782608693</v>
      </c>
      <c r="O42" s="1">
        <v>37.18996739130435</v>
      </c>
      <c r="P42" s="1">
        <v>23.22753260869565</v>
      </c>
      <c r="Q42" s="1">
        <v>161.59700000000004</v>
      </c>
      <c r="R42" s="1"/>
      <c r="S42" s="1"/>
      <c r="T42" s="1">
        <v>235.47131967213122</v>
      </c>
      <c r="U42" s="1">
        <v>31.798000000000002</v>
      </c>
      <c r="V42" s="1">
        <v>21.920524590163936</v>
      </c>
      <c r="W42" s="1">
        <v>418.10111111111109</v>
      </c>
      <c r="X42" s="1"/>
      <c r="Y42" s="1"/>
      <c r="Z42" s="1">
        <v>217.16803140096616</v>
      </c>
      <c r="AA42" s="1">
        <v>29.996316425120767</v>
      </c>
      <c r="AB42" s="1">
        <v>19.588140096618361</v>
      </c>
      <c r="AC42" s="1">
        <v>270.92333333333329</v>
      </c>
    </row>
    <row r="43" spans="1:29" x14ac:dyDescent="0.3">
      <c r="A43" t="s">
        <v>21</v>
      </c>
      <c r="B43" s="1">
        <v>247.31518143573621</v>
      </c>
      <c r="C43" s="1">
        <v>32.82942339995509</v>
      </c>
      <c r="D43" s="1">
        <v>21.164186690620561</v>
      </c>
      <c r="E43" s="1">
        <v>944.28999999999974</v>
      </c>
      <c r="F43" s="1"/>
      <c r="G43" s="1"/>
      <c r="H43" s="1">
        <v>255.83391977401124</v>
      </c>
      <c r="I43" s="1">
        <v>32.142391807909611</v>
      </c>
      <c r="J43" s="1">
        <v>18.789491525423728</v>
      </c>
      <c r="K43" s="1">
        <v>0.23700000000000002</v>
      </c>
      <c r="L43" s="1"/>
      <c r="M43" s="1"/>
      <c r="N43" s="1">
        <v>285.42258695652174</v>
      </c>
      <c r="O43" s="1">
        <v>36.929489130434789</v>
      </c>
      <c r="P43" s="1">
        <v>23.012358695652175</v>
      </c>
      <c r="Q43" s="1">
        <v>159.35899999999998</v>
      </c>
      <c r="R43" s="1"/>
      <c r="S43" s="1"/>
      <c r="T43" s="1">
        <v>235.19765573770502</v>
      </c>
      <c r="U43" s="1">
        <v>31.867213114754094</v>
      </c>
      <c r="V43" s="1">
        <v>21.753868852459014</v>
      </c>
      <c r="W43" s="1">
        <v>432.23</v>
      </c>
      <c r="X43" s="1"/>
      <c r="Y43" s="1"/>
      <c r="Z43" s="1">
        <v>217.20605072463766</v>
      </c>
      <c r="AA43" s="1">
        <v>29.64057971014493</v>
      </c>
      <c r="AB43" s="1">
        <v>19.313937198067634</v>
      </c>
      <c r="AC43" s="1">
        <v>283.74999999999994</v>
      </c>
    </row>
    <row r="44" spans="1:29" x14ac:dyDescent="0.3">
      <c r="A44" t="s">
        <v>22</v>
      </c>
      <c r="B44" s="1">
        <v>247.24417350101061</v>
      </c>
      <c r="C44" s="1">
        <v>32.788769391421511</v>
      </c>
      <c r="D44" s="1">
        <v>21.126712164084143</v>
      </c>
      <c r="E44" s="1">
        <v>940.25600000000009</v>
      </c>
      <c r="F44" s="1"/>
      <c r="G44" s="1"/>
      <c r="H44" s="1">
        <v>254.35095254237291</v>
      </c>
      <c r="I44" s="1">
        <v>32.390934745762713</v>
      </c>
      <c r="J44" s="1">
        <v>18.862252542372879</v>
      </c>
      <c r="K44" s="1">
        <v>0.158</v>
      </c>
      <c r="L44" s="1"/>
      <c r="M44" s="1"/>
      <c r="N44" s="1">
        <v>284.46542391304342</v>
      </c>
      <c r="O44" s="1">
        <v>37.077684782608692</v>
      </c>
      <c r="P44" s="1">
        <v>22.973467391304347</v>
      </c>
      <c r="Q44" s="1">
        <v>155.16300000000001</v>
      </c>
      <c r="R44" s="1"/>
      <c r="S44" s="1"/>
      <c r="T44" s="1">
        <v>236.11203278688527</v>
      </c>
      <c r="U44" s="1">
        <v>31.480737704918035</v>
      </c>
      <c r="V44" s="1">
        <v>21.655532786885246</v>
      </c>
      <c r="W44" s="1">
        <v>455.9422222222222</v>
      </c>
      <c r="X44" s="1"/>
      <c r="Y44" s="1"/>
      <c r="Z44" s="1">
        <v>217.70396135265696</v>
      </c>
      <c r="AA44" s="1">
        <v>29.681026570048314</v>
      </c>
      <c r="AB44" s="1">
        <v>19.226557971014497</v>
      </c>
      <c r="AC44" s="1">
        <v>262.00333333333333</v>
      </c>
    </row>
    <row r="45" spans="1:29" x14ac:dyDescent="0.3">
      <c r="A45" t="s">
        <v>23</v>
      </c>
      <c r="B45" s="1">
        <v>247.81418874167224</v>
      </c>
      <c r="C45" s="1">
        <v>32.629442929860005</v>
      </c>
      <c r="D45" s="1">
        <v>20.935976622501688</v>
      </c>
      <c r="E45" s="1">
        <v>968.07299999999998</v>
      </c>
      <c r="F45" s="1"/>
      <c r="G45" s="1"/>
      <c r="H45" s="1">
        <v>255.57246045197743</v>
      </c>
      <c r="I45" s="1">
        <v>31.945813276836162</v>
      </c>
      <c r="J45" s="1">
        <v>18.508420903954804</v>
      </c>
      <c r="K45" s="1">
        <v>0.152</v>
      </c>
      <c r="L45" s="1"/>
      <c r="M45" s="1"/>
      <c r="N45" s="1">
        <v>286.19051086956534</v>
      </c>
      <c r="O45" s="1">
        <v>36.866076086956525</v>
      </c>
      <c r="P45" s="1">
        <v>22.828902173913043</v>
      </c>
      <c r="Q45" s="1">
        <v>154.89799999999997</v>
      </c>
      <c r="R45" s="1"/>
      <c r="S45" s="1"/>
      <c r="T45" s="1">
        <v>235.85107377049181</v>
      </c>
      <c r="U45" s="1">
        <v>31.595885245901645</v>
      </c>
      <c r="V45" s="1">
        <v>21.553483606557375</v>
      </c>
      <c r="W45" s="1">
        <v>469.28111111111116</v>
      </c>
      <c r="X45" s="1"/>
      <c r="Y45" s="1"/>
      <c r="Z45" s="1">
        <v>217.69422705314005</v>
      </c>
      <c r="AA45" s="1">
        <v>29.387886473429951</v>
      </c>
      <c r="AB45" s="1">
        <v>19.022306763285027</v>
      </c>
      <c r="AC45" s="1">
        <v>270.69555555555553</v>
      </c>
    </row>
    <row r="46" spans="1:29" x14ac:dyDescent="0.3">
      <c r="A46" t="s">
        <v>24</v>
      </c>
      <c r="B46" s="1">
        <v>247.72520084587171</v>
      </c>
      <c r="C46" s="1">
        <v>32.576658544801262</v>
      </c>
      <c r="D46" s="1">
        <v>20.85990044164982</v>
      </c>
      <c r="E46" s="1">
        <v>945.2299999999999</v>
      </c>
      <c r="F46" s="1"/>
      <c r="G46" s="1"/>
      <c r="H46" s="1">
        <v>254.1418395480226</v>
      </c>
      <c r="I46" s="1">
        <v>32.164769209039541</v>
      </c>
      <c r="J46" s="1">
        <v>18.534284180790959</v>
      </c>
      <c r="K46" s="1">
        <v>0.17000000000000004</v>
      </c>
      <c r="L46" s="1"/>
      <c r="M46" s="1"/>
      <c r="N46" s="1">
        <v>285.21982608695657</v>
      </c>
      <c r="O46" s="1">
        <v>37.018097826086951</v>
      </c>
      <c r="P46" s="1">
        <v>22.75692391304348</v>
      </c>
      <c r="Q46" s="1">
        <v>144.24799999999999</v>
      </c>
      <c r="R46" s="1"/>
      <c r="S46" s="1"/>
      <c r="T46" s="1">
        <v>236.68874590163932</v>
      </c>
      <c r="U46" s="1">
        <v>31.216606557377055</v>
      </c>
      <c r="V46" s="1">
        <v>21.432942622950819</v>
      </c>
      <c r="W46" s="1">
        <v>482.17666666666668</v>
      </c>
      <c r="X46" s="1"/>
      <c r="Y46" s="1"/>
      <c r="Z46" s="1">
        <v>218.24380434782609</v>
      </c>
      <c r="AA46" s="1">
        <v>29.381388888888889</v>
      </c>
      <c r="AB46" s="1">
        <v>18.865688405797101</v>
      </c>
      <c r="AC46" s="1">
        <v>251.55777777777777</v>
      </c>
    </row>
    <row r="47" spans="1:29" x14ac:dyDescent="0.3">
      <c r="A47" t="s">
        <v>25</v>
      </c>
      <c r="B47" s="1">
        <v>248.2572456920428</v>
      </c>
      <c r="C47" s="1">
        <v>32.563939239464034</v>
      </c>
      <c r="D47" s="1">
        <v>20.825386159143644</v>
      </c>
      <c r="E47" s="1">
        <v>968.55</v>
      </c>
      <c r="F47" s="1"/>
      <c r="G47" s="1"/>
      <c r="H47" s="1">
        <v>255.23592881355938</v>
      </c>
      <c r="I47" s="1">
        <v>31.868083615819206</v>
      </c>
      <c r="J47" s="1">
        <v>18.34261242937853</v>
      </c>
      <c r="K47" s="1">
        <v>0.18800000000000003</v>
      </c>
      <c r="L47" s="1"/>
      <c r="M47" s="1"/>
      <c r="N47" s="1">
        <v>286.88422826086952</v>
      </c>
      <c r="O47" s="1">
        <v>36.952249999999999</v>
      </c>
      <c r="P47" s="1">
        <v>22.767717391304352</v>
      </c>
      <c r="Q47" s="1">
        <v>144.84199999999998</v>
      </c>
      <c r="R47" s="1"/>
      <c r="S47" s="1"/>
      <c r="T47" s="1">
        <v>236.44236065573767</v>
      </c>
      <c r="U47" s="1">
        <v>31.473565573770497</v>
      </c>
      <c r="V47" s="1">
        <v>21.487327868852457</v>
      </c>
      <c r="W47" s="1">
        <v>494.28222222222223</v>
      </c>
      <c r="X47" s="1"/>
      <c r="Y47" s="1"/>
      <c r="Z47" s="1">
        <v>218.19765700483094</v>
      </c>
      <c r="AA47" s="1">
        <v>29.24085748792271</v>
      </c>
      <c r="AB47" s="1">
        <v>18.810785024154587</v>
      </c>
      <c r="AC47" s="1">
        <v>256.53888888888889</v>
      </c>
    </row>
    <row r="48" spans="1:29" x14ac:dyDescent="0.3">
      <c r="A48" t="s">
        <v>26</v>
      </c>
      <c r="B48" s="1">
        <v>248.01007029717795</v>
      </c>
      <c r="C48" s="1">
        <v>32.56489841305487</v>
      </c>
      <c r="D48" s="1">
        <v>20.790672482970287</v>
      </c>
      <c r="E48" s="1">
        <v>921.61399999999981</v>
      </c>
      <c r="F48" s="1"/>
      <c r="G48" s="1"/>
      <c r="H48" s="1">
        <v>253.71011723163838</v>
      </c>
      <c r="I48" s="1">
        <v>32.121655932203382</v>
      </c>
      <c r="J48" s="1">
        <v>18.404311864406779</v>
      </c>
      <c r="K48" s="1">
        <v>0.193</v>
      </c>
      <c r="L48" s="1"/>
      <c r="M48" s="1"/>
      <c r="N48" s="1">
        <v>285.61392391304344</v>
      </c>
      <c r="O48" s="1">
        <v>37.164293478260873</v>
      </c>
      <c r="P48" s="1">
        <v>22.743282608695651</v>
      </c>
      <c r="Q48" s="1">
        <v>131.77500000000001</v>
      </c>
      <c r="R48" s="1"/>
      <c r="S48" s="1"/>
      <c r="T48" s="1">
        <v>237.16227868852462</v>
      </c>
      <c r="U48" s="1">
        <v>31.172770491803284</v>
      </c>
      <c r="V48" s="1">
        <v>21.416696721311475</v>
      </c>
      <c r="W48" s="1">
        <v>487.73555555555544</v>
      </c>
      <c r="X48" s="1"/>
      <c r="Y48" s="1"/>
      <c r="Z48" s="1">
        <v>218.68340579710144</v>
      </c>
      <c r="AA48" s="1">
        <v>29.260048309178746</v>
      </c>
      <c r="AB48" s="1">
        <v>18.680797101449276</v>
      </c>
      <c r="AC48" s="1">
        <v>239.5566666666667</v>
      </c>
    </row>
    <row r="49" spans="1:29" x14ac:dyDescent="0.3">
      <c r="A49" t="s">
        <v>27</v>
      </c>
      <c r="B49" s="1">
        <v>248.49876114230111</v>
      </c>
      <c r="C49" s="1">
        <v>32.513268530578628</v>
      </c>
      <c r="D49" s="1">
        <v>20.720036896474291</v>
      </c>
      <c r="E49" s="1">
        <v>939.7940000000001</v>
      </c>
      <c r="F49" s="1"/>
      <c r="G49" s="1"/>
      <c r="H49" s="1">
        <v>254.68295395480226</v>
      </c>
      <c r="I49" s="1">
        <v>31.789897740112991</v>
      </c>
      <c r="J49" s="1">
        <v>18.180580225988699</v>
      </c>
      <c r="K49" s="1">
        <v>0.246</v>
      </c>
      <c r="L49" s="1"/>
      <c r="M49" s="1"/>
      <c r="N49" s="1">
        <v>287.21026086956522</v>
      </c>
      <c r="O49" s="1">
        <v>37.063043478260866</v>
      </c>
      <c r="P49" s="1">
        <v>22.714565217391307</v>
      </c>
      <c r="Q49" s="1">
        <v>132.25400000000002</v>
      </c>
      <c r="R49" s="1"/>
      <c r="S49" s="1"/>
      <c r="T49" s="1">
        <v>236.91092622950814</v>
      </c>
      <c r="U49" s="1">
        <v>31.384434426229507</v>
      </c>
      <c r="V49" s="1">
        <v>21.437040983606554</v>
      </c>
      <c r="W49" s="1">
        <v>498.36555555555555</v>
      </c>
      <c r="X49" s="1"/>
      <c r="Y49" s="1"/>
      <c r="Z49" s="1">
        <v>218.61613526570048</v>
      </c>
      <c r="AA49" s="1">
        <v>29.08271739130435</v>
      </c>
      <c r="AB49" s="1">
        <v>18.57786231884058</v>
      </c>
      <c r="AC49" s="1">
        <v>241.98444444444442</v>
      </c>
    </row>
    <row r="50" spans="1:29" x14ac:dyDescent="0.3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  <row r="52" spans="1:29" x14ac:dyDescent="0.3">
      <c r="A52" t="s">
        <v>11</v>
      </c>
      <c r="B52" t="s">
        <v>0</v>
      </c>
      <c r="C52" t="s">
        <v>1</v>
      </c>
      <c r="D52" t="s">
        <v>2</v>
      </c>
      <c r="E52" t="s">
        <v>3</v>
      </c>
      <c r="G52" t="s">
        <v>6</v>
      </c>
      <c r="H52" t="s">
        <v>0</v>
      </c>
      <c r="I52" t="s">
        <v>1</v>
      </c>
      <c r="J52" t="s">
        <v>2</v>
      </c>
      <c r="K52" t="s">
        <v>3</v>
      </c>
      <c r="M52" t="s">
        <v>7</v>
      </c>
      <c r="N52" t="s">
        <v>0</v>
      </c>
      <c r="O52" t="s">
        <v>1</v>
      </c>
      <c r="P52" t="s">
        <v>2</v>
      </c>
      <c r="Q52" t="s">
        <v>3</v>
      </c>
      <c r="S52" t="s">
        <v>5</v>
      </c>
      <c r="T52" t="s">
        <v>0</v>
      </c>
      <c r="U52" t="s">
        <v>1</v>
      </c>
      <c r="V52" t="s">
        <v>2</v>
      </c>
      <c r="W52" t="s">
        <v>3</v>
      </c>
      <c r="Y52" t="s">
        <v>8</v>
      </c>
      <c r="Z52" t="s">
        <v>0</v>
      </c>
      <c r="AA52" t="s">
        <v>1</v>
      </c>
      <c r="AB52" t="s">
        <v>2</v>
      </c>
      <c r="AC52" t="s">
        <v>3</v>
      </c>
    </row>
    <row r="53" spans="1:29" x14ac:dyDescent="0.3">
      <c r="A53" t="s">
        <v>12</v>
      </c>
      <c r="B53" s="1">
        <v>249.2414821393817</v>
      </c>
      <c r="C53" s="1">
        <v>33.11714174713677</v>
      </c>
      <c r="D53" s="1">
        <v>20.60983614791526</v>
      </c>
      <c r="E53" s="1">
        <v>833.23099999999999</v>
      </c>
      <c r="F53" s="1"/>
      <c r="G53" s="1"/>
      <c r="H53" s="1">
        <v>255.1793355932204</v>
      </c>
      <c r="I53" s="1">
        <v>32.47582316384181</v>
      </c>
      <c r="J53" s="1">
        <v>18.148348870056498</v>
      </c>
      <c r="K53" s="1">
        <v>5.1000000000000004E-2</v>
      </c>
      <c r="L53" s="1"/>
      <c r="M53" s="1"/>
      <c r="N53" s="1">
        <v>286.10247826086959</v>
      </c>
      <c r="O53" s="1">
        <v>37.280054347826095</v>
      </c>
      <c r="P53" s="1">
        <v>22.375750000000004</v>
      </c>
      <c r="Q53" s="1">
        <v>151.10399999999998</v>
      </c>
      <c r="R53" s="1"/>
      <c r="S53" s="1"/>
      <c r="T53" s="1">
        <v>238.10839344262294</v>
      </c>
      <c r="U53" s="1">
        <v>32.042770491803289</v>
      </c>
      <c r="V53" s="1">
        <v>21.564836065573772</v>
      </c>
      <c r="W53" s="1">
        <v>465.39888888888891</v>
      </c>
      <c r="X53" s="1"/>
      <c r="Y53" s="1"/>
      <c r="Z53" s="1">
        <v>218.24398550724641</v>
      </c>
      <c r="AA53" s="1">
        <v>29.978224637681155</v>
      </c>
      <c r="AB53" s="1">
        <v>18.2362077294686</v>
      </c>
      <c r="AC53" s="1">
        <v>231.68444444444444</v>
      </c>
    </row>
    <row r="54" spans="1:29" x14ac:dyDescent="0.3">
      <c r="A54" t="s">
        <v>13</v>
      </c>
      <c r="B54" s="1">
        <v>249.94063932180561</v>
      </c>
      <c r="C54" s="1">
        <v>32.916887813459098</v>
      </c>
      <c r="D54" s="1">
        <v>20.365074893330341</v>
      </c>
      <c r="E54" s="1">
        <v>859.97199999999998</v>
      </c>
      <c r="F54" s="1"/>
      <c r="G54" s="1"/>
      <c r="H54" s="1">
        <v>256.65135028248579</v>
      </c>
      <c r="I54" s="1">
        <v>31.989578531073441</v>
      </c>
      <c r="J54" s="1">
        <v>17.689650847457628</v>
      </c>
      <c r="K54" s="1">
        <v>5.2000000000000005E-2</v>
      </c>
      <c r="L54" s="1"/>
      <c r="M54" s="1"/>
      <c r="N54" s="1">
        <v>288.25543478260869</v>
      </c>
      <c r="O54" s="1">
        <v>37.044250000000005</v>
      </c>
      <c r="P54" s="1">
        <v>22.198728260869565</v>
      </c>
      <c r="Q54" s="1">
        <v>148.42900000000003</v>
      </c>
      <c r="R54" s="1"/>
      <c r="S54" s="1"/>
      <c r="T54" s="1">
        <v>237.82821311475413</v>
      </c>
      <c r="U54" s="1">
        <v>32.117663934426233</v>
      </c>
      <c r="V54" s="1">
        <v>21.424893442622952</v>
      </c>
      <c r="W54" s="1">
        <v>483.76222222222231</v>
      </c>
      <c r="X54" s="1"/>
      <c r="Y54" s="1"/>
      <c r="Z54" s="1">
        <v>218.33253623188409</v>
      </c>
      <c r="AA54" s="1">
        <v>29.624867149758458</v>
      </c>
      <c r="AB54" s="1">
        <v>17.915289855072459</v>
      </c>
      <c r="AC54" s="1">
        <v>242.62777777777774</v>
      </c>
    </row>
    <row r="55" spans="1:29" x14ac:dyDescent="0.3">
      <c r="A55" t="s">
        <v>14</v>
      </c>
      <c r="B55" s="1">
        <v>249.74372610973873</v>
      </c>
      <c r="C55" s="1">
        <v>32.874563867055919</v>
      </c>
      <c r="D55" s="1">
        <v>20.351302335504155</v>
      </c>
      <c r="E55" s="1">
        <v>862.55300000000011</v>
      </c>
      <c r="F55" s="1"/>
      <c r="G55" s="1"/>
      <c r="H55" s="1">
        <v>255.129361299435</v>
      </c>
      <c r="I55" s="1">
        <v>32.230108474576269</v>
      </c>
      <c r="J55" s="1">
        <v>17.780512146892658</v>
      </c>
      <c r="K55" s="1">
        <v>2.6000000000000002E-2</v>
      </c>
      <c r="L55" s="1"/>
      <c r="M55" s="1"/>
      <c r="N55" s="1">
        <v>286.86844565217388</v>
      </c>
      <c r="O55" s="1">
        <v>37.18496739130434</v>
      </c>
      <c r="P55" s="1">
        <v>22.18942391304348</v>
      </c>
      <c r="Q55" s="1">
        <v>145.244</v>
      </c>
      <c r="R55" s="1"/>
      <c r="S55" s="1"/>
      <c r="T55" s="1">
        <v>238.68402459016392</v>
      </c>
      <c r="U55" s="1">
        <v>31.749737704918026</v>
      </c>
      <c r="V55" s="1">
        <v>21.354778688524583</v>
      </c>
      <c r="W55" s="1">
        <v>507.6922222222222</v>
      </c>
      <c r="X55" s="1"/>
      <c r="Y55" s="1"/>
      <c r="Z55" s="1">
        <v>218.61800724637683</v>
      </c>
      <c r="AA55" s="1">
        <v>29.663224637681164</v>
      </c>
      <c r="AB55" s="1">
        <v>17.900362318840578</v>
      </c>
      <c r="AC55" s="1">
        <v>223.59666666666666</v>
      </c>
    </row>
    <row r="56" spans="1:29" x14ac:dyDescent="0.3">
      <c r="A56" t="s">
        <v>15</v>
      </c>
      <c r="B56" s="1">
        <v>250.3936605808818</v>
      </c>
      <c r="C56" s="1">
        <v>32.727217179429601</v>
      </c>
      <c r="D56" s="1">
        <v>20.179316670409456</v>
      </c>
      <c r="E56" s="1">
        <v>886.86500000000001</v>
      </c>
      <c r="F56" s="1"/>
      <c r="G56" s="1"/>
      <c r="H56" s="1">
        <v>256.53441807909604</v>
      </c>
      <c r="I56" s="1">
        <v>31.796797740113</v>
      </c>
      <c r="J56" s="1">
        <v>17.394506497175136</v>
      </c>
      <c r="K56" s="1">
        <v>1.9999999999999997E-2</v>
      </c>
      <c r="L56" s="1"/>
      <c r="M56" s="1"/>
      <c r="N56" s="1">
        <v>288.9315869565217</v>
      </c>
      <c r="O56" s="1">
        <v>36.999315217391306</v>
      </c>
      <c r="P56" s="1">
        <v>22.087728260869568</v>
      </c>
      <c r="Q56" s="1">
        <v>144.31199999999998</v>
      </c>
      <c r="R56" s="1"/>
      <c r="S56" s="1"/>
      <c r="T56" s="1">
        <v>238.38818852459008</v>
      </c>
      <c r="U56" s="1">
        <v>31.872122950819669</v>
      </c>
      <c r="V56" s="1">
        <v>21.283131147540985</v>
      </c>
      <c r="W56" s="1">
        <v>524.64333333333332</v>
      </c>
      <c r="X56" s="1"/>
      <c r="Y56" s="1"/>
      <c r="Z56" s="1">
        <v>218.65667874396138</v>
      </c>
      <c r="AA56" s="1">
        <v>29.373345410628012</v>
      </c>
      <c r="AB56" s="1">
        <v>17.653321256038645</v>
      </c>
      <c r="AC56" s="1">
        <v>231.00111111111113</v>
      </c>
    </row>
    <row r="57" spans="1:29" x14ac:dyDescent="0.3">
      <c r="A57" t="s">
        <v>16</v>
      </c>
      <c r="B57" s="1">
        <v>250.19856962347481</v>
      </c>
      <c r="C57" s="1">
        <v>32.661266172617715</v>
      </c>
      <c r="D57" s="1">
        <v>20.144376480275476</v>
      </c>
      <c r="E57" s="1">
        <v>872.65699999999981</v>
      </c>
      <c r="F57" s="1"/>
      <c r="G57" s="1"/>
      <c r="H57" s="1">
        <v>255.02108983050852</v>
      </c>
      <c r="I57" s="1">
        <v>32.005374858757065</v>
      </c>
      <c r="J57" s="1">
        <v>17.456468926553669</v>
      </c>
      <c r="K57" s="1">
        <v>1.4000000000000002E-2</v>
      </c>
      <c r="L57" s="1"/>
      <c r="M57" s="1"/>
      <c r="N57" s="1">
        <v>287.50710869565216</v>
      </c>
      <c r="O57" s="1">
        <v>37.114347826086956</v>
      </c>
      <c r="P57" s="1">
        <v>22.093923913043476</v>
      </c>
      <c r="Q57" s="1">
        <v>133.45700000000005</v>
      </c>
      <c r="R57" s="1"/>
      <c r="S57" s="1"/>
      <c r="T57" s="1">
        <v>239.23130327868859</v>
      </c>
      <c r="U57" s="1">
        <v>31.502483606557384</v>
      </c>
      <c r="V57" s="1">
        <v>21.188336065573772</v>
      </c>
      <c r="W57" s="1">
        <v>537.45777777777778</v>
      </c>
      <c r="X57" s="1"/>
      <c r="Y57" s="1"/>
      <c r="Z57" s="1">
        <v>219.03567632850246</v>
      </c>
      <c r="AA57" s="1">
        <v>29.367222222222217</v>
      </c>
      <c r="AB57" s="1">
        <v>17.588586956521738</v>
      </c>
      <c r="AC57" s="1">
        <v>215.32000000000002</v>
      </c>
    </row>
    <row r="58" spans="1:29" x14ac:dyDescent="0.3">
      <c r="A58" t="s">
        <v>17</v>
      </c>
      <c r="B58" s="1">
        <v>250.80192000898268</v>
      </c>
      <c r="C58" s="1">
        <v>32.661606445093199</v>
      </c>
      <c r="D58" s="1">
        <v>20.132913384235344</v>
      </c>
      <c r="E58" s="1">
        <v>892.80299999999988</v>
      </c>
      <c r="F58" s="1"/>
      <c r="G58" s="1"/>
      <c r="H58" s="1">
        <v>256.33749745762714</v>
      </c>
      <c r="I58" s="1">
        <v>31.722367231638419</v>
      </c>
      <c r="J58" s="1">
        <v>17.235087288135595</v>
      </c>
      <c r="K58" s="1">
        <v>1.6E-2</v>
      </c>
      <c r="L58" s="1"/>
      <c r="M58" s="1"/>
      <c r="N58" s="1">
        <v>289.47943478260879</v>
      </c>
      <c r="O58" s="1">
        <v>37.074521739130425</v>
      </c>
      <c r="P58" s="1">
        <v>22.149119565217394</v>
      </c>
      <c r="Q58" s="1">
        <v>133.22499999999999</v>
      </c>
      <c r="R58" s="1"/>
      <c r="S58" s="1"/>
      <c r="T58" s="1">
        <v>238.93143442622949</v>
      </c>
      <c r="U58" s="1">
        <v>31.767303278688523</v>
      </c>
      <c r="V58" s="1">
        <v>21.275704918032787</v>
      </c>
      <c r="W58" s="1">
        <v>552.41777777777759</v>
      </c>
      <c r="X58" s="1"/>
      <c r="Y58" s="1"/>
      <c r="Z58" s="1">
        <v>219.03692028985509</v>
      </c>
      <c r="AA58" s="1">
        <v>29.231195652173913</v>
      </c>
      <c r="AB58" s="1">
        <v>17.500664251207727</v>
      </c>
      <c r="AC58" s="1">
        <v>219.74444444444441</v>
      </c>
    </row>
    <row r="59" spans="1:29" x14ac:dyDescent="0.3">
      <c r="A59" t="s">
        <v>18</v>
      </c>
      <c r="B59" s="1">
        <v>250.52538276068566</v>
      </c>
      <c r="C59" s="1">
        <v>32.64531137061158</v>
      </c>
      <c r="D59" s="1">
        <v>20.136810981360885</v>
      </c>
      <c r="E59" s="1">
        <v>853.98300000000017</v>
      </c>
      <c r="F59" s="1"/>
      <c r="G59" s="1"/>
      <c r="H59" s="1">
        <v>254.77008531073449</v>
      </c>
      <c r="I59" s="1">
        <v>31.964121751412428</v>
      </c>
      <c r="J59" s="1">
        <v>17.332646892655369</v>
      </c>
      <c r="K59" s="1">
        <v>1.3000000000000001E-2</v>
      </c>
      <c r="L59" s="1"/>
      <c r="M59" s="1"/>
      <c r="N59" s="1">
        <v>287.88492391304351</v>
      </c>
      <c r="O59" s="1">
        <v>37.236510869565208</v>
      </c>
      <c r="P59" s="1">
        <v>22.205771739130437</v>
      </c>
      <c r="Q59" s="1">
        <v>118.59199999999998</v>
      </c>
      <c r="R59" s="1"/>
      <c r="S59" s="1"/>
      <c r="T59" s="1">
        <v>239.70763114754101</v>
      </c>
      <c r="U59" s="1">
        <v>31.473221311475406</v>
      </c>
      <c r="V59" s="1">
        <v>21.222114754098364</v>
      </c>
      <c r="W59" s="1">
        <v>543.43111111111114</v>
      </c>
      <c r="X59" s="1"/>
      <c r="Y59" s="1"/>
      <c r="Z59" s="1">
        <v>219.41657004830915</v>
      </c>
      <c r="AA59" s="1">
        <v>29.254009661835752</v>
      </c>
      <c r="AB59" s="1">
        <v>17.454565217391302</v>
      </c>
      <c r="AC59" s="1">
        <v>205.53333333333327</v>
      </c>
    </row>
    <row r="60" spans="1:29" x14ac:dyDescent="0.3">
      <c r="A60" t="s">
        <v>19</v>
      </c>
      <c r="B60" s="1">
        <v>251.07835520622797</v>
      </c>
      <c r="C60" s="1">
        <v>32.607387491578706</v>
      </c>
      <c r="D60" s="1">
        <v>20.090611400553936</v>
      </c>
      <c r="E60" s="1">
        <v>869.13199999999995</v>
      </c>
      <c r="F60" s="1"/>
      <c r="G60" s="1"/>
      <c r="H60" s="1">
        <v>255.96933333333337</v>
      </c>
      <c r="I60" s="1">
        <v>31.647331920903959</v>
      </c>
      <c r="J60" s="1">
        <v>17.081594350282487</v>
      </c>
      <c r="K60" s="1">
        <v>1.4000000000000002E-2</v>
      </c>
      <c r="L60" s="1"/>
      <c r="M60" s="1"/>
      <c r="N60" s="1">
        <v>289.76367391304342</v>
      </c>
      <c r="O60" s="1">
        <v>37.159097826086949</v>
      </c>
      <c r="P60" s="1">
        <v>22.217760869565218</v>
      </c>
      <c r="Q60" s="1">
        <v>118.07299999999998</v>
      </c>
      <c r="R60" s="1"/>
      <c r="S60" s="1"/>
      <c r="T60" s="1">
        <v>239.40396721311481</v>
      </c>
      <c r="U60" s="1">
        <v>31.69401639344262</v>
      </c>
      <c r="V60" s="1">
        <v>21.274672131147543</v>
      </c>
      <c r="W60" s="1">
        <v>555.8077777777778</v>
      </c>
      <c r="X60" s="1"/>
      <c r="Y60" s="1"/>
      <c r="Z60" s="1">
        <v>219.4005072463768</v>
      </c>
      <c r="AA60" s="1">
        <v>29.081787439613532</v>
      </c>
      <c r="AB60" s="1">
        <v>17.330483091787436</v>
      </c>
      <c r="AC60" s="1">
        <v>208.05888888888887</v>
      </c>
    </row>
    <row r="61" spans="1:29" x14ac:dyDescent="0.3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3">
      <c r="A62" t="s">
        <v>20</v>
      </c>
      <c r="B62" s="1">
        <v>248.35836766225026</v>
      </c>
      <c r="C62" s="1">
        <v>33.569761284527289</v>
      </c>
      <c r="D62" s="1">
        <v>21.81268684781795</v>
      </c>
      <c r="E62" s="1">
        <v>865.94699999999978</v>
      </c>
      <c r="F62" s="1"/>
      <c r="G62" s="1"/>
      <c r="H62" s="1">
        <v>254.63109067796614</v>
      </c>
      <c r="I62" s="1">
        <v>32.943880790960449</v>
      </c>
      <c r="J62" s="1">
        <v>19.474366949152547</v>
      </c>
      <c r="K62" s="1">
        <v>5.3000000000000012E-2</v>
      </c>
      <c r="L62" s="1"/>
      <c r="M62" s="1"/>
      <c r="N62" s="1">
        <v>285.1301195652174</v>
      </c>
      <c r="O62" s="1">
        <v>37.721445652173919</v>
      </c>
      <c r="P62" s="1">
        <v>23.762532608695651</v>
      </c>
      <c r="Q62" s="1">
        <v>165.22000000000003</v>
      </c>
      <c r="R62" s="1"/>
      <c r="S62" s="1"/>
      <c r="T62" s="1">
        <v>237.8677786885246</v>
      </c>
      <c r="U62" s="1">
        <v>32.442663934426228</v>
      </c>
      <c r="V62" s="1">
        <v>22.362073770491797</v>
      </c>
      <c r="W62" s="1">
        <v>404.48333333333329</v>
      </c>
      <c r="X62" s="1"/>
      <c r="Y62" s="1"/>
      <c r="Z62" s="1">
        <v>216.85169082125603</v>
      </c>
      <c r="AA62" s="1">
        <v>30.084166666666665</v>
      </c>
      <c r="AB62" s="1">
        <v>19.716159420289859</v>
      </c>
      <c r="AC62" s="1">
        <v>261.66666666666669</v>
      </c>
    </row>
    <row r="63" spans="1:29" x14ac:dyDescent="0.3">
      <c r="A63" t="s">
        <v>21</v>
      </c>
      <c r="B63" s="1">
        <v>248.99065681562996</v>
      </c>
      <c r="C63" s="1">
        <v>33.360930264241333</v>
      </c>
      <c r="D63" s="1">
        <v>21.562725331237367</v>
      </c>
      <c r="E63" s="1">
        <v>892.76800000000003</v>
      </c>
      <c r="F63" s="1"/>
      <c r="G63" s="1"/>
      <c r="H63" s="1">
        <v>256.0455279661017</v>
      </c>
      <c r="I63" s="1">
        <v>32.45246949152542</v>
      </c>
      <c r="J63" s="1">
        <v>19.049570056497171</v>
      </c>
      <c r="K63" s="1">
        <v>6.200000000000002E-2</v>
      </c>
      <c r="L63" s="1"/>
      <c r="M63" s="1"/>
      <c r="N63" s="1">
        <v>287.0127391304348</v>
      </c>
      <c r="O63" s="1">
        <v>37.472076086956527</v>
      </c>
      <c r="P63" s="1">
        <v>23.571836956521739</v>
      </c>
      <c r="Q63" s="1">
        <v>159.483</v>
      </c>
      <c r="R63" s="1"/>
      <c r="S63" s="1"/>
      <c r="T63" s="1">
        <v>237.51691803278686</v>
      </c>
      <c r="U63" s="1">
        <v>32.506393442622951</v>
      </c>
      <c r="V63" s="1">
        <v>22.198991803278687</v>
      </c>
      <c r="W63" s="1">
        <v>417.62222222222226</v>
      </c>
      <c r="X63" s="1"/>
      <c r="Y63" s="1"/>
      <c r="Z63" s="1">
        <v>216.79798309178742</v>
      </c>
      <c r="AA63" s="1">
        <v>29.729396135265702</v>
      </c>
      <c r="AB63" s="1">
        <v>19.441751207729467</v>
      </c>
      <c r="AC63" s="1">
        <v>275.2255555555555</v>
      </c>
    </row>
    <row r="64" spans="1:29" x14ac:dyDescent="0.3">
      <c r="A64" t="s">
        <v>22</v>
      </c>
      <c r="B64" s="1">
        <v>248.84293801931281</v>
      </c>
      <c r="C64" s="1">
        <v>33.314721012051791</v>
      </c>
      <c r="D64" s="1">
        <v>21.518914132794372</v>
      </c>
      <c r="E64" s="1">
        <v>893.74399999999991</v>
      </c>
      <c r="F64" s="1"/>
      <c r="G64" s="1"/>
      <c r="H64" s="1">
        <v>254.56200593220336</v>
      </c>
      <c r="I64" s="1">
        <v>32.679294067796612</v>
      </c>
      <c r="J64" s="1">
        <v>19.135568361581917</v>
      </c>
      <c r="K64" s="1">
        <v>2.3E-2</v>
      </c>
      <c r="L64" s="1"/>
      <c r="M64" s="1"/>
      <c r="N64" s="1">
        <v>285.78301086956515</v>
      </c>
      <c r="O64" s="1">
        <v>37.607619565217384</v>
      </c>
      <c r="P64" s="1">
        <v>23.517184782608695</v>
      </c>
      <c r="Q64" s="1">
        <v>157.56</v>
      </c>
      <c r="R64" s="1"/>
      <c r="S64" s="1"/>
      <c r="T64" s="1">
        <v>238.43291803278689</v>
      </c>
      <c r="U64" s="1">
        <v>32.13339344262296</v>
      </c>
      <c r="V64" s="1">
        <v>22.091918032786886</v>
      </c>
      <c r="W64" s="1">
        <v>442.96555555555545</v>
      </c>
      <c r="X64" s="1"/>
      <c r="Y64" s="1"/>
      <c r="Z64" s="1">
        <v>217.36370772946853</v>
      </c>
      <c r="AA64" s="1">
        <v>29.767125603864738</v>
      </c>
      <c r="AB64" s="1">
        <v>19.356461352657007</v>
      </c>
      <c r="AC64" s="1">
        <v>253.15222222222221</v>
      </c>
    </row>
    <row r="65" spans="1:29" x14ac:dyDescent="0.3">
      <c r="A65" t="s">
        <v>23</v>
      </c>
      <c r="B65" s="1">
        <v>249.43226483269706</v>
      </c>
      <c r="C65" s="1">
        <v>33.15594451680515</v>
      </c>
      <c r="D65" s="1">
        <v>21.335694333408192</v>
      </c>
      <c r="E65" s="1">
        <v>918.17899999999975</v>
      </c>
      <c r="F65" s="1"/>
      <c r="G65" s="1"/>
      <c r="H65" s="1">
        <v>255.8821460451978</v>
      </c>
      <c r="I65" s="1">
        <v>32.23852146892655</v>
      </c>
      <c r="J65" s="1">
        <v>18.774274858757064</v>
      </c>
      <c r="K65" s="1">
        <v>2.2000000000000002E-2</v>
      </c>
      <c r="L65" s="1"/>
      <c r="M65" s="1"/>
      <c r="N65" s="1">
        <v>287.59246739130447</v>
      </c>
      <c r="O65" s="1">
        <v>37.403608695652181</v>
      </c>
      <c r="P65" s="1">
        <v>23.398173913043479</v>
      </c>
      <c r="Q65" s="1">
        <v>153.94299999999998</v>
      </c>
      <c r="R65" s="1"/>
      <c r="S65" s="1"/>
      <c r="T65" s="1">
        <v>238.07769672131144</v>
      </c>
      <c r="U65" s="1">
        <v>32.242254098360661</v>
      </c>
      <c r="V65" s="1">
        <v>21.99297540983607</v>
      </c>
      <c r="W65" s="1">
        <v>455.56222222222226</v>
      </c>
      <c r="X65" s="1"/>
      <c r="Y65" s="1"/>
      <c r="Z65" s="1">
        <v>217.2649154589372</v>
      </c>
      <c r="AA65" s="1">
        <v>29.475567632850243</v>
      </c>
      <c r="AB65" s="1">
        <v>19.150012077294686</v>
      </c>
      <c r="AC65" s="1">
        <v>262.63888888888886</v>
      </c>
    </row>
    <row r="66" spans="1:29" x14ac:dyDescent="0.3">
      <c r="A66" t="s">
        <v>24</v>
      </c>
      <c r="B66" s="1">
        <v>249.32198104648552</v>
      </c>
      <c r="C66" s="1">
        <v>33.106521708211687</v>
      </c>
      <c r="D66" s="1">
        <v>21.249888636874019</v>
      </c>
      <c r="E66" s="1">
        <v>901.66999999999985</v>
      </c>
      <c r="F66" s="1"/>
      <c r="G66" s="1"/>
      <c r="H66" s="1">
        <v>254.4853110169492</v>
      </c>
      <c r="I66" s="1">
        <v>32.439090395480221</v>
      </c>
      <c r="J66" s="1">
        <v>18.811354237288135</v>
      </c>
      <c r="K66" s="1">
        <v>3.0000000000000006E-2</v>
      </c>
      <c r="L66" s="1"/>
      <c r="M66" s="1"/>
      <c r="N66" s="1">
        <v>286.36096739130443</v>
      </c>
      <c r="O66" s="1">
        <v>37.551652173913048</v>
      </c>
      <c r="P66" s="1">
        <v>23.304673913043477</v>
      </c>
      <c r="Q66" s="1">
        <v>144.29</v>
      </c>
      <c r="R66" s="1"/>
      <c r="S66" s="1"/>
      <c r="T66" s="1">
        <v>239.00172131147536</v>
      </c>
      <c r="U66" s="1">
        <v>31.889672131147542</v>
      </c>
      <c r="V66" s="1">
        <v>21.862614754098367</v>
      </c>
      <c r="W66" s="1">
        <v>469.77111111111117</v>
      </c>
      <c r="X66" s="1"/>
      <c r="Y66" s="1"/>
      <c r="Z66" s="1">
        <v>217.90576086956523</v>
      </c>
      <c r="AA66" s="1">
        <v>29.468442028985507</v>
      </c>
      <c r="AB66" s="1">
        <v>18.997560386473427</v>
      </c>
      <c r="AC66" s="1">
        <v>242.39555555555549</v>
      </c>
    </row>
    <row r="67" spans="1:29" x14ac:dyDescent="0.3">
      <c r="A67" t="s">
        <v>25</v>
      </c>
      <c r="B67" s="1">
        <v>249.86745019836818</v>
      </c>
      <c r="C67" s="1">
        <v>33.093480664720417</v>
      </c>
      <c r="D67" s="1">
        <v>21.22055672580283</v>
      </c>
      <c r="E67" s="1">
        <v>922.69599999999957</v>
      </c>
      <c r="F67" s="1"/>
      <c r="G67" s="1"/>
      <c r="H67" s="1">
        <v>255.7031663841808</v>
      </c>
      <c r="I67" s="1">
        <v>32.146040677966099</v>
      </c>
      <c r="J67" s="1">
        <v>18.603750564971754</v>
      </c>
      <c r="K67" s="1">
        <v>3.3000000000000008E-2</v>
      </c>
      <c r="L67" s="1"/>
      <c r="M67" s="1"/>
      <c r="N67" s="1">
        <v>288.09180434782616</v>
      </c>
      <c r="O67" s="1">
        <v>37.488923913043479</v>
      </c>
      <c r="P67" s="1">
        <v>23.33844565217391</v>
      </c>
      <c r="Q67" s="1">
        <v>142.12300000000002</v>
      </c>
      <c r="R67" s="1"/>
      <c r="S67" s="1"/>
      <c r="T67" s="1">
        <v>238.64766393442619</v>
      </c>
      <c r="U67" s="1">
        <v>32.141073770491808</v>
      </c>
      <c r="V67" s="1">
        <v>21.919524590163935</v>
      </c>
      <c r="W67" s="1">
        <v>481.38</v>
      </c>
      <c r="X67" s="1"/>
      <c r="Y67" s="1"/>
      <c r="Z67" s="1">
        <v>217.77823671497586</v>
      </c>
      <c r="AA67" s="1">
        <v>29.330012077294686</v>
      </c>
      <c r="AB67" s="1">
        <v>18.93943236714976</v>
      </c>
      <c r="AC67" s="1">
        <v>248.10333333333332</v>
      </c>
    </row>
    <row r="68" spans="1:29" x14ac:dyDescent="0.3">
      <c r="A68" t="s">
        <v>26</v>
      </c>
      <c r="B68" s="1">
        <v>249.67973717344117</v>
      </c>
      <c r="C68" s="1">
        <v>33.102004423983828</v>
      </c>
      <c r="D68" s="1">
        <v>21.174354959203534</v>
      </c>
      <c r="E68" s="1">
        <v>880.1840000000002</v>
      </c>
      <c r="F68" s="1"/>
      <c r="G68" s="1"/>
      <c r="H68" s="1">
        <v>254.25395988700561</v>
      </c>
      <c r="I68" s="1">
        <v>32.382419774011296</v>
      </c>
      <c r="J68" s="1">
        <v>18.671542655367233</v>
      </c>
      <c r="K68" s="1">
        <v>3.7999999999999999E-2</v>
      </c>
      <c r="L68" s="1"/>
      <c r="M68" s="1"/>
      <c r="N68" s="1">
        <v>286.66134782608697</v>
      </c>
      <c r="O68" s="1">
        <v>37.704315217391304</v>
      </c>
      <c r="P68" s="1">
        <v>23.294706521739133</v>
      </c>
      <c r="Q68" s="1">
        <v>128.001</v>
      </c>
      <c r="R68" s="1"/>
      <c r="S68" s="1"/>
      <c r="T68" s="1">
        <v>239.53826229508189</v>
      </c>
      <c r="U68" s="1">
        <v>31.870368852459016</v>
      </c>
      <c r="V68" s="1">
        <v>21.8385</v>
      </c>
      <c r="W68" s="1">
        <v>475.75777777777773</v>
      </c>
      <c r="X68" s="1"/>
      <c r="Y68" s="1"/>
      <c r="Z68" s="1">
        <v>218.38842995169082</v>
      </c>
      <c r="AA68" s="1">
        <v>29.349070048309176</v>
      </c>
      <c r="AB68" s="1">
        <v>18.813985507246379</v>
      </c>
      <c r="AC68" s="1">
        <v>229.50777777777779</v>
      </c>
    </row>
    <row r="69" spans="1:29" x14ac:dyDescent="0.3">
      <c r="A69" t="s">
        <v>27</v>
      </c>
      <c r="B69" s="1">
        <v>250.17417782019612</v>
      </c>
      <c r="C69" s="1">
        <v>33.049968635376892</v>
      </c>
      <c r="D69" s="1">
        <v>21.106131237368068</v>
      </c>
      <c r="E69" s="1">
        <v>897.11</v>
      </c>
      <c r="F69" s="1"/>
      <c r="G69" s="1"/>
      <c r="H69" s="1">
        <v>255.35983644067795</v>
      </c>
      <c r="I69" s="1">
        <v>32.054564406779654</v>
      </c>
      <c r="J69" s="1">
        <v>18.425207344632767</v>
      </c>
      <c r="K69" s="1">
        <v>4.9000000000000002E-2</v>
      </c>
      <c r="L69" s="1"/>
      <c r="M69" s="1"/>
      <c r="N69" s="1">
        <v>288.29807608695648</v>
      </c>
      <c r="O69" s="1">
        <v>37.600586956521745</v>
      </c>
      <c r="P69" s="1">
        <v>23.28275</v>
      </c>
      <c r="Q69" s="1">
        <v>126.37700000000002</v>
      </c>
      <c r="R69" s="1"/>
      <c r="S69" s="1"/>
      <c r="T69" s="1">
        <v>239.18259836065576</v>
      </c>
      <c r="U69" s="1">
        <v>32.079385245901634</v>
      </c>
      <c r="V69" s="1">
        <v>21.861524590163931</v>
      </c>
      <c r="W69" s="1">
        <v>485.9522222222223</v>
      </c>
      <c r="X69" s="1"/>
      <c r="Y69" s="1"/>
      <c r="Z69" s="1">
        <v>218.2537077294686</v>
      </c>
      <c r="AA69" s="1">
        <v>29.174299516908214</v>
      </c>
      <c r="AB69" s="1">
        <v>18.707681159420289</v>
      </c>
      <c r="AC69" s="1">
        <v>232.50666666666666</v>
      </c>
    </row>
    <row r="71" spans="1:29" x14ac:dyDescent="0.3">
      <c r="A71" t="s">
        <v>52</v>
      </c>
    </row>
    <row r="72" spans="1:29" x14ac:dyDescent="0.3">
      <c r="A72">
        <v>1</v>
      </c>
      <c r="B72" s="1">
        <f>B13-B2</f>
        <v>-8.1542091257663003</v>
      </c>
      <c r="C72" s="1">
        <f t="shared" ref="C72:E72" si="0">C13-C2</f>
        <v>1.6827058337699832</v>
      </c>
      <c r="D72" s="1">
        <f t="shared" si="0"/>
        <v>-1.6093951069191768</v>
      </c>
      <c r="E72" s="1">
        <f t="shared" si="0"/>
        <v>39.452333333333286</v>
      </c>
      <c r="F72" s="1"/>
      <c r="G72" s="1"/>
      <c r="H72" s="1">
        <f t="shared" ref="C72:AC79" si="1">H13-H2</f>
        <v>-6.0480932517262431</v>
      </c>
      <c r="I72" s="1">
        <f t="shared" si="1"/>
        <v>2.0820832077840556</v>
      </c>
      <c r="J72" s="1">
        <f t="shared" si="1"/>
        <v>-2.0170249529190194</v>
      </c>
      <c r="K72" s="1">
        <f t="shared" si="1"/>
        <v>-0.21133333333333326</v>
      </c>
      <c r="L72" s="1"/>
      <c r="M72" s="1"/>
      <c r="N72" s="1">
        <f t="shared" si="1"/>
        <v>-10.842971014492718</v>
      </c>
      <c r="O72" s="1">
        <f t="shared" si="1"/>
        <v>2.2953103864734317</v>
      </c>
      <c r="P72" s="1">
        <f t="shared" si="1"/>
        <v>-1.4435434782608709</v>
      </c>
      <c r="Q72" s="1">
        <f t="shared" si="1"/>
        <v>16.732555555555564</v>
      </c>
      <c r="R72" s="1"/>
      <c r="S72" s="1"/>
      <c r="T72" s="1">
        <f t="shared" si="1"/>
        <v>-5.6056502732240858</v>
      </c>
      <c r="U72" s="1">
        <f t="shared" si="1"/>
        <v>1.2504553734061865</v>
      </c>
      <c r="V72" s="1">
        <f t="shared" si="1"/>
        <v>-1.2955710382513743</v>
      </c>
      <c r="W72" s="1">
        <f t="shared" si="1"/>
        <v>42.68822222222218</v>
      </c>
      <c r="X72" s="1"/>
      <c r="Y72" s="1"/>
      <c r="Z72" s="1">
        <f t="shared" si="1"/>
        <v>-10.187460144927542</v>
      </c>
      <c r="AA72" s="1">
        <f t="shared" si="1"/>
        <v>1.385741545893719</v>
      </c>
      <c r="AB72" s="1">
        <f t="shared" si="1"/>
        <v>-1.9303876811594201</v>
      </c>
      <c r="AC72" s="1">
        <f t="shared" si="1"/>
        <v>-19.757111111111129</v>
      </c>
    </row>
    <row r="73" spans="1:29" x14ac:dyDescent="0.3">
      <c r="A73">
        <v>2</v>
      </c>
      <c r="B73" s="1">
        <f t="shared" ref="B73:Q79" si="2">B14-B3</f>
        <v>-8.0671900059051893</v>
      </c>
      <c r="C73" s="1">
        <f t="shared" si="2"/>
        <v>1.6747208282389678</v>
      </c>
      <c r="D73" s="1">
        <f t="shared" si="2"/>
        <v>-1.6052457352929004</v>
      </c>
      <c r="E73" s="1">
        <f t="shared" si="2"/>
        <v>53.520222222222174</v>
      </c>
      <c r="F73" s="1"/>
      <c r="G73" s="1"/>
      <c r="H73" s="1">
        <f t="shared" si="2"/>
        <v>-5.5900133709981787</v>
      </c>
      <c r="I73" s="1">
        <f t="shared" si="2"/>
        <v>2.0428792843691141</v>
      </c>
      <c r="J73" s="1">
        <f t="shared" si="2"/>
        <v>-2.0589897677338342</v>
      </c>
      <c r="K73" s="1">
        <f t="shared" si="2"/>
        <v>-0.32055555555555548</v>
      </c>
      <c r="L73" s="1"/>
      <c r="M73" s="1"/>
      <c r="N73" s="1">
        <f t="shared" si="2"/>
        <v>-10.78558695652174</v>
      </c>
      <c r="O73" s="1">
        <f t="shared" si="2"/>
        <v>2.3187741545893843</v>
      </c>
      <c r="P73" s="1">
        <f t="shared" si="2"/>
        <v>-1.3814528985507231</v>
      </c>
      <c r="Q73" s="1">
        <f t="shared" si="2"/>
        <v>18.486888888888899</v>
      </c>
      <c r="R73" s="1"/>
      <c r="S73" s="1"/>
      <c r="T73" s="1">
        <f t="shared" si="1"/>
        <v>-5.7894754098360295</v>
      </c>
      <c r="U73" s="1">
        <f t="shared" si="1"/>
        <v>1.2465081967213116</v>
      </c>
      <c r="V73" s="1">
        <f t="shared" si="1"/>
        <v>-1.295966302367944</v>
      </c>
      <c r="W73" s="1">
        <f t="shared" si="1"/>
        <v>51.566222222222166</v>
      </c>
      <c r="X73" s="1"/>
      <c r="Y73" s="1"/>
      <c r="Z73" s="1">
        <f t="shared" si="1"/>
        <v>-9.9499009661835203</v>
      </c>
      <c r="AA73" s="1">
        <f t="shared" si="1"/>
        <v>1.3608925120772923</v>
      </c>
      <c r="AB73" s="1">
        <f t="shared" si="1"/>
        <v>-1.9485289855072558</v>
      </c>
      <c r="AC73" s="1">
        <f t="shared" si="1"/>
        <v>-16.212333333333333</v>
      </c>
    </row>
    <row r="74" spans="1:29" x14ac:dyDescent="0.3">
      <c r="A74">
        <v>3</v>
      </c>
      <c r="B74" s="1">
        <f t="shared" si="2"/>
        <v>-8.2013420606998579</v>
      </c>
      <c r="C74" s="1">
        <f t="shared" si="1"/>
        <v>1.6830303524049448</v>
      </c>
      <c r="D74" s="1">
        <f t="shared" si="1"/>
        <v>-1.5792808194226176</v>
      </c>
      <c r="E74" s="1">
        <f t="shared" si="1"/>
        <v>39.694222222222152</v>
      </c>
      <c r="F74" s="1"/>
      <c r="G74" s="1"/>
      <c r="H74" s="1">
        <f t="shared" si="1"/>
        <v>-5.9826762084117604</v>
      </c>
      <c r="I74" s="1">
        <f t="shared" si="1"/>
        <v>2.0957176710608927</v>
      </c>
      <c r="J74" s="1">
        <f t="shared" si="1"/>
        <v>-2.0092462962962934</v>
      </c>
      <c r="K74" s="1">
        <f t="shared" si="1"/>
        <v>-0.18588888888888888</v>
      </c>
      <c r="L74" s="1"/>
      <c r="M74" s="1"/>
      <c r="N74" s="1">
        <f t="shared" si="1"/>
        <v>-10.919111111111079</v>
      </c>
      <c r="O74" s="1">
        <f t="shared" si="1"/>
        <v>2.3176859903381555</v>
      </c>
      <c r="P74" s="1">
        <f t="shared" si="1"/>
        <v>-1.3978091787439624</v>
      </c>
      <c r="Q74" s="1">
        <f t="shared" si="1"/>
        <v>15.18400000000004</v>
      </c>
      <c r="R74" s="1"/>
      <c r="S74" s="1"/>
      <c r="T74" s="1">
        <f t="shared" si="1"/>
        <v>-5.6320519125682438</v>
      </c>
      <c r="U74" s="1">
        <f t="shared" si="1"/>
        <v>1.2288041894353441</v>
      </c>
      <c r="V74" s="1">
        <f t="shared" si="1"/>
        <v>-1.2567249544626655</v>
      </c>
      <c r="W74" s="1">
        <f t="shared" si="1"/>
        <v>46.961333333333243</v>
      </c>
      <c r="X74" s="1"/>
      <c r="Y74" s="1"/>
      <c r="Z74" s="1">
        <f t="shared" si="1"/>
        <v>-10.305361111111125</v>
      </c>
      <c r="AA74" s="1">
        <f t="shared" si="1"/>
        <v>1.3846328502415446</v>
      </c>
      <c r="AB74" s="1">
        <f t="shared" si="1"/>
        <v>-1.9131207729468542</v>
      </c>
      <c r="AC74" s="1">
        <f t="shared" si="1"/>
        <v>-22.265222222222206</v>
      </c>
    </row>
    <row r="75" spans="1:29" x14ac:dyDescent="0.3">
      <c r="A75">
        <v>4</v>
      </c>
      <c r="B75" s="1">
        <f t="shared" si="2"/>
        <v>-8.0997663572622685</v>
      </c>
      <c r="C75" s="1">
        <f t="shared" si="1"/>
        <v>1.6713611988588433</v>
      </c>
      <c r="D75" s="1">
        <f t="shared" si="1"/>
        <v>-1.5744078290956622</v>
      </c>
      <c r="E75" s="1">
        <f t="shared" si="1"/>
        <v>53.419444444444366</v>
      </c>
      <c r="F75" s="1"/>
      <c r="G75" s="1"/>
      <c r="H75" s="1">
        <f t="shared" si="1"/>
        <v>-5.5188250156937215</v>
      </c>
      <c r="I75" s="1">
        <f t="shared" si="1"/>
        <v>2.0507819522912705</v>
      </c>
      <c r="J75" s="1">
        <f t="shared" si="1"/>
        <v>-2.0546371311989944</v>
      </c>
      <c r="K75" s="1">
        <f t="shared" si="1"/>
        <v>-0.25988888888888884</v>
      </c>
      <c r="L75" s="1"/>
      <c r="M75" s="1"/>
      <c r="N75" s="1">
        <f t="shared" si="1"/>
        <v>-10.830556763285017</v>
      </c>
      <c r="O75" s="1">
        <f t="shared" si="1"/>
        <v>2.3385700483091867</v>
      </c>
      <c r="P75" s="1">
        <f t="shared" si="1"/>
        <v>-1.3332246376811554</v>
      </c>
      <c r="Q75" s="1">
        <f t="shared" si="1"/>
        <v>16.795555555555538</v>
      </c>
      <c r="R75" s="1"/>
      <c r="S75" s="1"/>
      <c r="T75" s="1">
        <f t="shared" si="1"/>
        <v>-5.7913142076502595</v>
      </c>
      <c r="U75" s="1">
        <f t="shared" si="1"/>
        <v>1.221032786885246</v>
      </c>
      <c r="V75" s="1">
        <f t="shared" si="1"/>
        <v>-1.2560018214936193</v>
      </c>
      <c r="W75" s="1">
        <f t="shared" si="1"/>
        <v>55.838111111110948</v>
      </c>
      <c r="X75" s="1"/>
      <c r="Y75" s="1"/>
      <c r="Z75" s="1">
        <f t="shared" si="1"/>
        <v>-10.0775289855072</v>
      </c>
      <c r="AA75" s="1">
        <f t="shared" si="1"/>
        <v>1.3565048309178742</v>
      </c>
      <c r="AB75" s="1">
        <f t="shared" si="1"/>
        <v>-1.9301485507246383</v>
      </c>
      <c r="AC75" s="1">
        <f t="shared" si="1"/>
        <v>-18.954333333333352</v>
      </c>
    </row>
    <row r="76" spans="1:29" x14ac:dyDescent="0.3">
      <c r="A76">
        <v>5</v>
      </c>
      <c r="B76" s="1">
        <f t="shared" si="2"/>
        <v>-8.2749554765409243</v>
      </c>
      <c r="C76" s="1">
        <f t="shared" si="1"/>
        <v>1.6892327527842248</v>
      </c>
      <c r="D76" s="1">
        <f t="shared" si="1"/>
        <v>-1.5205772338248842</v>
      </c>
      <c r="E76" s="1">
        <f t="shared" si="1"/>
        <v>40.41177777777807</v>
      </c>
      <c r="F76" s="1"/>
      <c r="G76" s="1"/>
      <c r="H76" s="1">
        <f t="shared" si="1"/>
        <v>-5.9292931261769581</v>
      </c>
      <c r="I76" s="1">
        <f t="shared" si="1"/>
        <v>2.117433458882612</v>
      </c>
      <c r="J76" s="1">
        <f t="shared" si="1"/>
        <v>-1.9702825172630263</v>
      </c>
      <c r="K76" s="1">
        <f t="shared" si="1"/>
        <v>-0.14933333333333332</v>
      </c>
      <c r="L76" s="1"/>
      <c r="M76" s="1"/>
      <c r="N76" s="1">
        <f t="shared" si="1"/>
        <v>-11.143515700483078</v>
      </c>
      <c r="O76" s="1">
        <f t="shared" si="1"/>
        <v>2.3324613526570062</v>
      </c>
      <c r="P76" s="1">
        <f t="shared" si="1"/>
        <v>-1.2938586956521725</v>
      </c>
      <c r="Q76" s="1">
        <f t="shared" si="1"/>
        <v>14.144333333333378</v>
      </c>
      <c r="R76" s="1"/>
      <c r="S76" s="1"/>
      <c r="T76" s="1">
        <f t="shared" si="1"/>
        <v>-5.6276602914390992</v>
      </c>
      <c r="U76" s="1">
        <f t="shared" si="1"/>
        <v>1.219684881602916</v>
      </c>
      <c r="V76" s="1">
        <f t="shared" si="1"/>
        <v>-1.2051211293260522</v>
      </c>
      <c r="W76" s="1">
        <f t="shared" si="1"/>
        <v>50.890111111111139</v>
      </c>
      <c r="X76" s="1"/>
      <c r="Y76" s="1"/>
      <c r="Z76" s="1">
        <f t="shared" si="1"/>
        <v>-10.413173913043465</v>
      </c>
      <c r="AA76" s="1">
        <f t="shared" si="1"/>
        <v>1.3926425120772912</v>
      </c>
      <c r="AB76" s="1">
        <f t="shared" si="1"/>
        <v>-1.8775712560386459</v>
      </c>
      <c r="AC76" s="1">
        <f t="shared" si="1"/>
        <v>-24.473333333333358</v>
      </c>
    </row>
    <row r="77" spans="1:29" x14ac:dyDescent="0.3">
      <c r="A77">
        <v>6</v>
      </c>
      <c r="B77" s="1">
        <f t="shared" si="2"/>
        <v>-8.1608350475334817</v>
      </c>
      <c r="C77" s="1">
        <f t="shared" si="1"/>
        <v>1.6767253620114602</v>
      </c>
      <c r="D77" s="1">
        <f t="shared" si="1"/>
        <v>-1.5139276891982831</v>
      </c>
      <c r="E77" s="1">
        <f t="shared" si="1"/>
        <v>53.087222222222067</v>
      </c>
      <c r="F77" s="1"/>
      <c r="G77" s="1"/>
      <c r="H77" s="1">
        <f t="shared" si="1"/>
        <v>-5.465312962962912</v>
      </c>
      <c r="I77" s="1">
        <f t="shared" si="1"/>
        <v>2.0691785624607597</v>
      </c>
      <c r="J77" s="1">
        <f t="shared" si="1"/>
        <v>-2.0173551789077173</v>
      </c>
      <c r="K77" s="1">
        <f t="shared" si="1"/>
        <v>-0.19844444444444442</v>
      </c>
      <c r="L77" s="1"/>
      <c r="M77" s="1"/>
      <c r="N77" s="1">
        <f t="shared" si="1"/>
        <v>-11.023624396135347</v>
      </c>
      <c r="O77" s="1">
        <f t="shared" si="1"/>
        <v>2.3555748792270563</v>
      </c>
      <c r="P77" s="1">
        <f t="shared" si="1"/>
        <v>-1.2266714975845474</v>
      </c>
      <c r="Q77" s="1">
        <f t="shared" si="1"/>
        <v>15.136222222222273</v>
      </c>
      <c r="R77" s="1"/>
      <c r="S77" s="1"/>
      <c r="T77" s="1">
        <f t="shared" si="1"/>
        <v>-5.7657094717668542</v>
      </c>
      <c r="U77" s="1">
        <f t="shared" si="1"/>
        <v>1.2097331511839684</v>
      </c>
      <c r="V77" s="1">
        <f t="shared" si="1"/>
        <v>-1.2038224043715786</v>
      </c>
      <c r="W77" s="1">
        <f t="shared" si="1"/>
        <v>59.511444444444408</v>
      </c>
      <c r="X77" s="1"/>
      <c r="Y77" s="1"/>
      <c r="Z77" s="1">
        <f t="shared" si="1"/>
        <v>-10.19514613526573</v>
      </c>
      <c r="AA77" s="1">
        <f t="shared" si="1"/>
        <v>1.363993961352655</v>
      </c>
      <c r="AB77" s="1">
        <f t="shared" si="1"/>
        <v>-1.88982487922706</v>
      </c>
      <c r="AC77" s="1">
        <f t="shared" si="1"/>
        <v>-21.362000000000023</v>
      </c>
    </row>
    <row r="78" spans="1:29" x14ac:dyDescent="0.3">
      <c r="A78">
        <v>7</v>
      </c>
      <c r="B78" s="1">
        <f t="shared" si="2"/>
        <v>-8.4785508338116529</v>
      </c>
      <c r="C78" s="1">
        <f t="shared" si="1"/>
        <v>1.6984034791359868</v>
      </c>
      <c r="D78" s="1">
        <f t="shared" si="1"/>
        <v>-1.4607651096638961</v>
      </c>
      <c r="E78" s="1">
        <f t="shared" si="1"/>
        <v>38.847666666666782</v>
      </c>
      <c r="F78" s="1"/>
      <c r="G78" s="1"/>
      <c r="H78" s="1">
        <f t="shared" si="1"/>
        <v>-6.0624579096044613</v>
      </c>
      <c r="I78" s="1">
        <f t="shared" si="1"/>
        <v>2.1436182046453247</v>
      </c>
      <c r="J78" s="1">
        <f t="shared" si="1"/>
        <v>-1.928413465160066</v>
      </c>
      <c r="K78" s="1">
        <f t="shared" si="1"/>
        <v>-0.12033333333333332</v>
      </c>
      <c r="L78" s="1"/>
      <c r="M78" s="1"/>
      <c r="N78" s="1">
        <f t="shared" si="1"/>
        <v>-11.720515700483077</v>
      </c>
      <c r="O78" s="1">
        <f t="shared" si="1"/>
        <v>2.3462391304347747</v>
      </c>
      <c r="P78" s="1">
        <f t="shared" si="1"/>
        <v>-1.1866219806763318</v>
      </c>
      <c r="Q78" s="1">
        <f t="shared" si="1"/>
        <v>13.563777777777787</v>
      </c>
      <c r="R78" s="1"/>
      <c r="S78" s="1"/>
      <c r="T78" s="1">
        <f t="shared" si="1"/>
        <v>-5.639892531876086</v>
      </c>
      <c r="U78" s="1">
        <f t="shared" si="1"/>
        <v>1.2146939890710371</v>
      </c>
      <c r="V78" s="1">
        <f t="shared" si="1"/>
        <v>-1.1530336976320577</v>
      </c>
      <c r="W78" s="1">
        <f t="shared" si="1"/>
        <v>51.452444444444438</v>
      </c>
      <c r="X78" s="1"/>
      <c r="Y78" s="1"/>
      <c r="Z78" s="1">
        <f t="shared" si="1"/>
        <v>-10.542554347826098</v>
      </c>
      <c r="AA78" s="1">
        <f t="shared" si="1"/>
        <v>1.4050942028985496</v>
      </c>
      <c r="AB78" s="1">
        <f t="shared" si="1"/>
        <v>-1.8433973429951713</v>
      </c>
      <c r="AC78" s="1">
        <f t="shared" si="1"/>
        <v>-26.04822222222225</v>
      </c>
    </row>
    <row r="79" spans="1:29" x14ac:dyDescent="0.3">
      <c r="A79">
        <v>8</v>
      </c>
      <c r="B79" s="1">
        <f t="shared" si="2"/>
        <v>-8.3511951077509252</v>
      </c>
      <c r="C79" s="1">
        <f t="shared" si="1"/>
        <v>1.686423898994434</v>
      </c>
      <c r="D79" s="1">
        <f t="shared" si="1"/>
        <v>-1.4532827814789862</v>
      </c>
      <c r="E79" s="1">
        <f t="shared" si="1"/>
        <v>49.925777777777739</v>
      </c>
      <c r="F79" s="1"/>
      <c r="G79" s="1"/>
      <c r="H79" s="1">
        <f t="shared" si="1"/>
        <v>-5.5979977401129872</v>
      </c>
      <c r="I79" s="1">
        <f t="shared" si="1"/>
        <v>2.0941084431889543</v>
      </c>
      <c r="J79" s="1">
        <f t="shared" si="1"/>
        <v>-1.9770976145637214</v>
      </c>
      <c r="K79" s="1">
        <f t="shared" si="1"/>
        <v>-0.15522222222222221</v>
      </c>
      <c r="L79" s="1"/>
      <c r="M79" s="1"/>
      <c r="N79" s="1">
        <f t="shared" si="1"/>
        <v>-11.573878019323672</v>
      </c>
      <c r="O79" s="1">
        <f t="shared" si="1"/>
        <v>2.3736062801932221</v>
      </c>
      <c r="P79" s="1">
        <f t="shared" si="1"/>
        <v>-1.1199951690821308</v>
      </c>
      <c r="Q79" s="1">
        <f t="shared" si="1"/>
        <v>13.768222222222249</v>
      </c>
      <c r="R79" s="1"/>
      <c r="S79" s="1"/>
      <c r="T79" s="1">
        <f t="shared" si="1"/>
        <v>-5.7628779599271525</v>
      </c>
      <c r="U79" s="1">
        <f t="shared" si="1"/>
        <v>1.2034744990892499</v>
      </c>
      <c r="V79" s="1">
        <f t="shared" si="1"/>
        <v>-1.1519927140255071</v>
      </c>
      <c r="W79" s="1">
        <f t="shared" si="1"/>
        <v>59.428222222222246</v>
      </c>
      <c r="X79" s="1"/>
      <c r="Y79" s="1"/>
      <c r="Z79" s="1">
        <f t="shared" si="1"/>
        <v>-10.31905555555565</v>
      </c>
      <c r="AA79" s="1">
        <f t="shared" si="1"/>
        <v>1.3767862318840614</v>
      </c>
      <c r="AB79" s="1">
        <f t="shared" si="1"/>
        <v>-1.8504057971014447</v>
      </c>
      <c r="AC79" s="1">
        <f t="shared" si="1"/>
        <v>-23.115444444444364</v>
      </c>
    </row>
    <row r="81" spans="1:29" x14ac:dyDescent="0.3">
      <c r="A81" t="s">
        <v>53</v>
      </c>
    </row>
    <row r="82" spans="1:29" x14ac:dyDescent="0.3">
      <c r="A82">
        <v>1</v>
      </c>
      <c r="B82" s="1">
        <f>B22-B2</f>
        <v>-9.0897740882134883</v>
      </c>
      <c r="C82" s="1">
        <f t="shared" ref="C82:AC82" si="3">C22-C2</f>
        <v>1.5838220350824521</v>
      </c>
      <c r="D82" s="1">
        <f t="shared" si="3"/>
        <v>-0.78710807612013767</v>
      </c>
      <c r="E82" s="1">
        <f t="shared" si="3"/>
        <v>61.934555555555448</v>
      </c>
      <c r="F82" s="1"/>
      <c r="G82" s="1"/>
      <c r="H82" s="1">
        <f t="shared" si="3"/>
        <v>-8.9263113935969614</v>
      </c>
      <c r="I82" s="1">
        <f t="shared" si="3"/>
        <v>1.9210945072190739</v>
      </c>
      <c r="J82" s="1">
        <f t="shared" si="3"/>
        <v>-1.1981944444444395</v>
      </c>
      <c r="K82" s="1">
        <f t="shared" si="3"/>
        <v>-0.28688888888888886</v>
      </c>
      <c r="L82" s="1"/>
      <c r="M82" s="1"/>
      <c r="N82" s="1">
        <f t="shared" si="3"/>
        <v>-9.770893719806736</v>
      </c>
      <c r="O82" s="1">
        <f t="shared" si="3"/>
        <v>2.2001292270531465</v>
      </c>
      <c r="P82" s="1">
        <f t="shared" si="3"/>
        <v>-0.92981159420289572</v>
      </c>
      <c r="Q82" s="1">
        <f t="shared" si="3"/>
        <v>21.621444444444478</v>
      </c>
      <c r="R82" s="1"/>
      <c r="S82" s="1"/>
      <c r="T82" s="1">
        <f t="shared" si="3"/>
        <v>-6.9629544626593542</v>
      </c>
      <c r="U82" s="1">
        <f t="shared" si="3"/>
        <v>1.1786247723132917</v>
      </c>
      <c r="V82" s="1">
        <f t="shared" si="3"/>
        <v>-0.60570765027322793</v>
      </c>
      <c r="W82" s="1">
        <f t="shared" si="3"/>
        <v>29.778222222222212</v>
      </c>
      <c r="X82" s="1"/>
      <c r="Y82" s="1"/>
      <c r="Z82" s="1">
        <f t="shared" si="3"/>
        <v>-11.320757246376814</v>
      </c>
      <c r="AA82" s="1">
        <f t="shared" si="3"/>
        <v>1.2858260869565186</v>
      </c>
      <c r="AB82" s="1">
        <f t="shared" si="3"/>
        <v>-0.62340700483091638</v>
      </c>
      <c r="AC82" s="1">
        <f t="shared" si="3"/>
        <v>10.821777777777697</v>
      </c>
    </row>
    <row r="83" spans="1:29" x14ac:dyDescent="0.3">
      <c r="A83">
        <v>2</v>
      </c>
      <c r="B83" s="1">
        <f t="shared" ref="B83:AC83" si="4">B23-B3</f>
        <v>-9.1416899019387756</v>
      </c>
      <c r="C83" s="1">
        <f t="shared" si="4"/>
        <v>1.5769803120659383</v>
      </c>
      <c r="D83" s="1">
        <f t="shared" si="4"/>
        <v>-0.79155792599247121</v>
      </c>
      <c r="E83" s="1">
        <f t="shared" si="4"/>
        <v>75.594666666666853</v>
      </c>
      <c r="F83" s="1"/>
      <c r="G83" s="1"/>
      <c r="H83" s="1">
        <f t="shared" si="4"/>
        <v>-8.6100814814815863</v>
      </c>
      <c r="I83" s="1">
        <f t="shared" si="4"/>
        <v>1.8565242937853164</v>
      </c>
      <c r="J83" s="1">
        <f t="shared" si="4"/>
        <v>-1.2071193973634635</v>
      </c>
      <c r="K83" s="1">
        <f t="shared" si="4"/>
        <v>-0.38388888888888884</v>
      </c>
      <c r="L83" s="1"/>
      <c r="M83" s="1"/>
      <c r="N83" s="1">
        <f t="shared" si="4"/>
        <v>-9.8055748792271515</v>
      </c>
      <c r="O83" s="1">
        <f t="shared" si="4"/>
        <v>2.232373188405802</v>
      </c>
      <c r="P83" s="1">
        <f t="shared" si="4"/>
        <v>-0.91706884057971294</v>
      </c>
      <c r="Q83" s="1">
        <f t="shared" si="4"/>
        <v>21.821333333333342</v>
      </c>
      <c r="R83" s="1"/>
      <c r="S83" s="1"/>
      <c r="T83" s="1">
        <f t="shared" si="4"/>
        <v>-7.3208142076502725</v>
      </c>
      <c r="U83" s="1">
        <f t="shared" si="4"/>
        <v>1.1840582877959953</v>
      </c>
      <c r="V83" s="1">
        <f t="shared" si="4"/>
        <v>-0.63877140255008769</v>
      </c>
      <c r="W83" s="1">
        <f t="shared" si="4"/>
        <v>37.001777777777818</v>
      </c>
      <c r="X83" s="1"/>
      <c r="Y83" s="1"/>
      <c r="Z83" s="1">
        <f t="shared" si="4"/>
        <v>-11.221120772946819</v>
      </c>
      <c r="AA83" s="1">
        <f t="shared" si="4"/>
        <v>1.2606751207729481</v>
      </c>
      <c r="AB83" s="1">
        <f t="shared" si="4"/>
        <v>-0.6042536231884057</v>
      </c>
      <c r="AC83" s="1">
        <f t="shared" si="4"/>
        <v>17.15544444444447</v>
      </c>
    </row>
    <row r="84" spans="1:29" x14ac:dyDescent="0.3">
      <c r="A84">
        <v>3</v>
      </c>
      <c r="B84" s="1">
        <f t="shared" ref="B84:AC84" si="5">B24-B4</f>
        <v>-9.0846231279785741</v>
      </c>
      <c r="C84" s="1">
        <f t="shared" si="5"/>
        <v>1.5890026224517761</v>
      </c>
      <c r="D84" s="1">
        <f t="shared" si="5"/>
        <v>-0.78321687584733368</v>
      </c>
      <c r="E84" s="1">
        <f t="shared" si="5"/>
        <v>58.851999999999862</v>
      </c>
      <c r="F84" s="1"/>
      <c r="G84" s="1"/>
      <c r="H84" s="1">
        <f t="shared" si="5"/>
        <v>-8.6874370370370855</v>
      </c>
      <c r="I84" s="1">
        <f t="shared" si="5"/>
        <v>1.9434530759573185</v>
      </c>
      <c r="J84" s="1">
        <f t="shared" si="5"/>
        <v>-1.1825240740740739</v>
      </c>
      <c r="K84" s="1">
        <f t="shared" si="5"/>
        <v>-0.20255555555555554</v>
      </c>
      <c r="L84" s="1"/>
      <c r="M84" s="1"/>
      <c r="N84" s="1">
        <f t="shared" si="5"/>
        <v>-9.7295338164250893</v>
      </c>
      <c r="O84" s="1">
        <f t="shared" si="5"/>
        <v>2.2476859903381552</v>
      </c>
      <c r="P84" s="1">
        <f t="shared" si="5"/>
        <v>-0.93373913043478041</v>
      </c>
      <c r="Q84" s="1">
        <f t="shared" si="5"/>
        <v>19.550666666666686</v>
      </c>
      <c r="R84" s="1"/>
      <c r="S84" s="1"/>
      <c r="T84" s="1">
        <f t="shared" si="5"/>
        <v>-7.0864872495445184</v>
      </c>
      <c r="U84" s="1">
        <f t="shared" si="5"/>
        <v>1.1505072859745056</v>
      </c>
      <c r="V84" s="1">
        <f t="shared" si="5"/>
        <v>-0.59382877959928493</v>
      </c>
      <c r="W84" s="1">
        <f t="shared" si="5"/>
        <v>32.447999999999922</v>
      </c>
      <c r="X84" s="1"/>
      <c r="Y84" s="1"/>
      <c r="Z84" s="1">
        <f t="shared" si="5"/>
        <v>-11.331629227053213</v>
      </c>
      <c r="AA84" s="1">
        <f t="shared" si="5"/>
        <v>1.2816859903381577</v>
      </c>
      <c r="AB84" s="1">
        <f t="shared" si="5"/>
        <v>-0.62996859903380908</v>
      </c>
      <c r="AC84" s="1">
        <f t="shared" si="5"/>
        <v>7.0558888888888873</v>
      </c>
    </row>
    <row r="85" spans="1:29" x14ac:dyDescent="0.3">
      <c r="A85">
        <v>4</v>
      </c>
      <c r="B85" s="1">
        <f t="shared" ref="B85:AC85" si="6">B25-B5</f>
        <v>-9.1209485897979903</v>
      </c>
      <c r="C85" s="1">
        <f t="shared" si="6"/>
        <v>1.579057924328982</v>
      </c>
      <c r="D85" s="1">
        <f t="shared" si="6"/>
        <v>-0.78834285417238092</v>
      </c>
      <c r="E85" s="1">
        <f t="shared" si="6"/>
        <v>71.727222222222053</v>
      </c>
      <c r="F85" s="1"/>
      <c r="G85" s="1"/>
      <c r="H85" s="1">
        <f t="shared" si="6"/>
        <v>-8.3590714061519407</v>
      </c>
      <c r="I85" s="1">
        <f t="shared" si="6"/>
        <v>1.8752593534212103</v>
      </c>
      <c r="J85" s="1">
        <f t="shared" si="6"/>
        <v>-1.1930508160703042</v>
      </c>
      <c r="K85" s="1">
        <f t="shared" si="6"/>
        <v>-0.27433333333333326</v>
      </c>
      <c r="L85" s="1"/>
      <c r="M85" s="1"/>
      <c r="N85" s="1">
        <f t="shared" si="6"/>
        <v>-9.7481292270530844</v>
      </c>
      <c r="O85" s="1">
        <f t="shared" si="6"/>
        <v>2.2766618357487971</v>
      </c>
      <c r="P85" s="1">
        <f t="shared" si="6"/>
        <v>-0.92173913043477995</v>
      </c>
      <c r="Q85" s="1">
        <f t="shared" si="6"/>
        <v>19.165555555555542</v>
      </c>
      <c r="R85" s="1"/>
      <c r="S85" s="1"/>
      <c r="T85" s="1">
        <f t="shared" si="6"/>
        <v>-7.4133724954462821</v>
      </c>
      <c r="U85" s="1">
        <f t="shared" si="6"/>
        <v>1.153610200364291</v>
      </c>
      <c r="V85" s="1">
        <f t="shared" si="6"/>
        <v>-0.62580145719489266</v>
      </c>
      <c r="W85" s="1">
        <f t="shared" si="6"/>
        <v>40.266999999999882</v>
      </c>
      <c r="X85" s="1"/>
      <c r="Y85" s="1"/>
      <c r="Z85" s="1">
        <f t="shared" si="6"/>
        <v>-11.235089371980678</v>
      </c>
      <c r="AA85" s="1">
        <f t="shared" si="6"/>
        <v>1.2529057971014517</v>
      </c>
      <c r="AB85" s="1">
        <f t="shared" si="6"/>
        <v>-0.61316787439613307</v>
      </c>
      <c r="AC85" s="1">
        <f t="shared" si="6"/>
        <v>12.56899999999996</v>
      </c>
    </row>
    <row r="86" spans="1:29" x14ac:dyDescent="0.3">
      <c r="A86">
        <v>5</v>
      </c>
      <c r="B86" s="1">
        <f t="shared" ref="B86:AC86" si="7">B26-B6</f>
        <v>-9.1421021774749818</v>
      </c>
      <c r="C86" s="1">
        <f t="shared" si="7"/>
        <v>1.5933737064484177</v>
      </c>
      <c r="D86" s="1">
        <f t="shared" si="7"/>
        <v>-0.77889295938652126</v>
      </c>
      <c r="E86" s="1">
        <f t="shared" si="7"/>
        <v>54.090666666666721</v>
      </c>
      <c r="F86" s="1"/>
      <c r="G86" s="1"/>
      <c r="H86" s="1">
        <f t="shared" si="7"/>
        <v>-8.5392987758945083</v>
      </c>
      <c r="I86" s="1">
        <f t="shared" si="7"/>
        <v>1.9607862523540547</v>
      </c>
      <c r="J86" s="1">
        <f t="shared" si="7"/>
        <v>-1.1601221280602587</v>
      </c>
      <c r="K86" s="1">
        <f t="shared" si="7"/>
        <v>-0.1671111111111111</v>
      </c>
      <c r="L86" s="1"/>
      <c r="M86" s="1"/>
      <c r="N86" s="1">
        <f t="shared" si="7"/>
        <v>-9.8545543478261379</v>
      </c>
      <c r="O86" s="1">
        <f t="shared" si="7"/>
        <v>2.2880652173913134</v>
      </c>
      <c r="P86" s="1">
        <f t="shared" si="7"/>
        <v>-0.93949879227052691</v>
      </c>
      <c r="Q86" s="1">
        <f t="shared" si="7"/>
        <v>16.079888888888917</v>
      </c>
      <c r="R86" s="1"/>
      <c r="S86" s="1"/>
      <c r="T86" s="1">
        <f t="shared" si="7"/>
        <v>-7.2329881602914838</v>
      </c>
      <c r="U86" s="1">
        <f t="shared" si="7"/>
        <v>1.1233825136611948</v>
      </c>
      <c r="V86" s="1">
        <f t="shared" si="7"/>
        <v>-0.57832695810565227</v>
      </c>
      <c r="W86" s="1">
        <f t="shared" si="7"/>
        <v>35.018999999999892</v>
      </c>
      <c r="X86" s="1"/>
      <c r="Y86" s="1"/>
      <c r="Z86" s="1">
        <f t="shared" si="7"/>
        <v>-11.335685990338163</v>
      </c>
      <c r="AA86" s="1">
        <f t="shared" si="7"/>
        <v>1.283512077294688</v>
      </c>
      <c r="AB86" s="1">
        <f t="shared" si="7"/>
        <v>-0.6421123188405744</v>
      </c>
      <c r="AC86" s="1">
        <f t="shared" si="7"/>
        <v>3.1588888888888675</v>
      </c>
    </row>
    <row r="87" spans="1:29" x14ac:dyDescent="0.3">
      <c r="A87">
        <v>6</v>
      </c>
      <c r="B87" s="1">
        <f t="shared" ref="B87:AC87" si="8">B27-B7</f>
        <v>-9.1668683584101132</v>
      </c>
      <c r="C87" s="1">
        <f t="shared" si="8"/>
        <v>1.5819792066937772</v>
      </c>
      <c r="D87" s="1">
        <f t="shared" si="8"/>
        <v>-0.78699025209803963</v>
      </c>
      <c r="E87" s="1">
        <f t="shared" si="8"/>
        <v>65.853888888888719</v>
      </c>
      <c r="F87" s="1"/>
      <c r="G87" s="1"/>
      <c r="H87" s="1">
        <f t="shared" si="8"/>
        <v>-8.2036400188323455</v>
      </c>
      <c r="I87" s="1">
        <f t="shared" si="8"/>
        <v>1.8927093220338982</v>
      </c>
      <c r="J87" s="1">
        <f t="shared" si="8"/>
        <v>-1.1758401129943472</v>
      </c>
      <c r="K87" s="1">
        <f t="shared" si="8"/>
        <v>-0.22066666666666665</v>
      </c>
      <c r="L87" s="1"/>
      <c r="M87" s="1"/>
      <c r="N87" s="1">
        <f t="shared" si="8"/>
        <v>-9.8669094202900283</v>
      </c>
      <c r="O87" s="1">
        <f t="shared" si="8"/>
        <v>2.3144396135265808</v>
      </c>
      <c r="P87" s="1">
        <f t="shared" si="8"/>
        <v>-0.93215458937198292</v>
      </c>
      <c r="Q87" s="1">
        <f t="shared" si="8"/>
        <v>15.210666666666697</v>
      </c>
      <c r="R87" s="1"/>
      <c r="S87" s="1"/>
      <c r="T87" s="1">
        <f t="shared" si="8"/>
        <v>-7.5372122040072611</v>
      </c>
      <c r="U87" s="1">
        <f t="shared" si="8"/>
        <v>1.1250428051001791</v>
      </c>
      <c r="V87" s="1">
        <f t="shared" si="8"/>
        <v>-0.60946903460837021</v>
      </c>
      <c r="W87" s="1">
        <f t="shared" si="8"/>
        <v>43.094777777777779</v>
      </c>
      <c r="X87" s="1"/>
      <c r="Y87" s="1"/>
      <c r="Z87" s="1">
        <f t="shared" si="8"/>
        <v>-11.234264492753624</v>
      </c>
      <c r="AA87" s="1">
        <f t="shared" si="8"/>
        <v>1.2534142512077295</v>
      </c>
      <c r="AB87" s="1">
        <f t="shared" si="8"/>
        <v>-0.63021135265701034</v>
      </c>
      <c r="AC87" s="1">
        <f t="shared" si="8"/>
        <v>7.7691111111111013</v>
      </c>
    </row>
    <row r="88" spans="1:29" x14ac:dyDescent="0.3">
      <c r="A88">
        <v>7</v>
      </c>
      <c r="B88" s="1">
        <f t="shared" ref="B88:AC88" si="9">B28-B8</f>
        <v>-9.380080472590322</v>
      </c>
      <c r="C88" s="1">
        <f t="shared" si="9"/>
        <v>1.5964711239197804</v>
      </c>
      <c r="D88" s="1">
        <f t="shared" si="9"/>
        <v>-0.77748257853631841</v>
      </c>
      <c r="E88" s="1">
        <f t="shared" si="9"/>
        <v>48.584333333333461</v>
      </c>
      <c r="F88" s="1"/>
      <c r="G88" s="1"/>
      <c r="H88" s="1">
        <f t="shared" si="9"/>
        <v>-8.6600665097300009</v>
      </c>
      <c r="I88" s="1">
        <f t="shared" si="9"/>
        <v>1.9705070935342199</v>
      </c>
      <c r="J88" s="1">
        <f t="shared" si="9"/>
        <v>-1.1395220652856146</v>
      </c>
      <c r="K88" s="1">
        <f t="shared" si="9"/>
        <v>-0.1381111111111111</v>
      </c>
      <c r="L88" s="1"/>
      <c r="M88" s="1"/>
      <c r="N88" s="1">
        <f t="shared" si="9"/>
        <v>-10.355793478260921</v>
      </c>
      <c r="O88" s="1">
        <f t="shared" si="9"/>
        <v>2.3276280193236758</v>
      </c>
      <c r="P88" s="1">
        <f t="shared" si="9"/>
        <v>-0.94664613526570562</v>
      </c>
      <c r="Q88" s="1">
        <f t="shared" si="9"/>
        <v>12.318222222222232</v>
      </c>
      <c r="R88" s="1"/>
      <c r="S88" s="1"/>
      <c r="T88" s="1">
        <f t="shared" si="9"/>
        <v>-7.4554207650272986</v>
      </c>
      <c r="U88" s="1">
        <f t="shared" si="9"/>
        <v>1.0963879781420687</v>
      </c>
      <c r="V88" s="1">
        <f t="shared" si="9"/>
        <v>-0.5665218579234903</v>
      </c>
      <c r="W88" s="1">
        <f t="shared" si="9"/>
        <v>36.088000000000136</v>
      </c>
      <c r="X88" s="1"/>
      <c r="Y88" s="1"/>
      <c r="Z88" s="1">
        <f t="shared" si="9"/>
        <v>-11.406358695652187</v>
      </c>
      <c r="AA88" s="1">
        <f t="shared" si="9"/>
        <v>1.2858550724637645</v>
      </c>
      <c r="AB88" s="1">
        <f t="shared" si="9"/>
        <v>-0.65834903381642818</v>
      </c>
      <c r="AC88" s="1">
        <f t="shared" si="9"/>
        <v>0.31622222222227947</v>
      </c>
    </row>
    <row r="89" spans="1:29" x14ac:dyDescent="0.3">
      <c r="A89">
        <v>8</v>
      </c>
      <c r="B89" s="1">
        <f t="shared" ref="B89:AC89" si="10">B29-B9</f>
        <v>-9.3971298583560667</v>
      </c>
      <c r="C89" s="1">
        <f t="shared" si="10"/>
        <v>1.5845909524165869</v>
      </c>
      <c r="D89" s="1">
        <f t="shared" si="10"/>
        <v>-0.79106951701307793</v>
      </c>
      <c r="E89" s="1">
        <f t="shared" si="10"/>
        <v>59.350222222222214</v>
      </c>
      <c r="F89" s="1"/>
      <c r="G89" s="1"/>
      <c r="H89" s="1">
        <f t="shared" si="10"/>
        <v>-8.328550784683074</v>
      </c>
      <c r="I89" s="1">
        <f t="shared" si="10"/>
        <v>1.9042339924670451</v>
      </c>
      <c r="J89" s="1">
        <f t="shared" si="10"/>
        <v>-1.1646092278719458</v>
      </c>
      <c r="K89" s="1">
        <f t="shared" si="10"/>
        <v>-0.17966666666666664</v>
      </c>
      <c r="L89" s="1"/>
      <c r="M89" s="1"/>
      <c r="N89" s="1">
        <f t="shared" si="10"/>
        <v>-10.36738043478266</v>
      </c>
      <c r="O89" s="1">
        <f t="shared" si="10"/>
        <v>2.351975845410621</v>
      </c>
      <c r="P89" s="1">
        <f t="shared" si="10"/>
        <v>-0.94821980676328366</v>
      </c>
      <c r="Q89" s="1">
        <f t="shared" si="10"/>
        <v>11.299333333333365</v>
      </c>
      <c r="R89" s="1"/>
      <c r="S89" s="1"/>
      <c r="T89" s="1">
        <f t="shared" si="10"/>
        <v>-7.7499544626593888</v>
      </c>
      <c r="U89" s="1">
        <f t="shared" si="10"/>
        <v>1.0973360655737636</v>
      </c>
      <c r="V89" s="1">
        <f t="shared" si="10"/>
        <v>-0.59726593806922423</v>
      </c>
      <c r="W89" s="1">
        <f t="shared" si="10"/>
        <v>44.084888888888884</v>
      </c>
      <c r="X89" s="1"/>
      <c r="Y89" s="1"/>
      <c r="Z89" s="1">
        <f t="shared" si="10"/>
        <v>-11.285287439613569</v>
      </c>
      <c r="AA89" s="1">
        <f t="shared" si="10"/>
        <v>1.2556388888888925</v>
      </c>
      <c r="AB89" s="1">
        <f t="shared" si="10"/>
        <v>-0.6538236714975767</v>
      </c>
      <c r="AC89" s="1">
        <f t="shared" si="10"/>
        <v>4.145666666666699</v>
      </c>
    </row>
    <row r="92" spans="1:29" x14ac:dyDescent="0.3">
      <c r="A92" t="s">
        <v>54</v>
      </c>
    </row>
    <row r="93" spans="1:29" x14ac:dyDescent="0.3">
      <c r="A93">
        <v>1</v>
      </c>
      <c r="B93" s="1">
        <f>B33-B2</f>
        <v>-6.0365650348079214</v>
      </c>
      <c r="C93" s="1">
        <f t="shared" ref="C93:AC93" si="11">C33-C2</f>
        <v>2.2647949971305188</v>
      </c>
      <c r="D93" s="1">
        <f t="shared" si="11"/>
        <v>-1.1086203133967025</v>
      </c>
      <c r="E93" s="1">
        <f t="shared" si="11"/>
        <v>23.751333333333378</v>
      </c>
      <c r="F93" s="1"/>
      <c r="G93" s="1"/>
      <c r="H93" s="1">
        <f t="shared" si="11"/>
        <v>-7.353649717514088</v>
      </c>
      <c r="I93" s="1">
        <f t="shared" si="11"/>
        <v>2.4733792843691198</v>
      </c>
      <c r="J93" s="1">
        <f t="shared" si="11"/>
        <v>-1.4300843691148764</v>
      </c>
      <c r="K93" s="1">
        <f t="shared" si="11"/>
        <v>-0.23266666666666661</v>
      </c>
      <c r="L93" s="1"/>
      <c r="M93" s="1"/>
      <c r="N93" s="1">
        <f t="shared" si="11"/>
        <v>-8.084061594202808</v>
      </c>
      <c r="O93" s="1">
        <f t="shared" si="11"/>
        <v>2.8047608695652286</v>
      </c>
      <c r="P93" s="1">
        <f t="shared" si="11"/>
        <v>-1.0787826086956613</v>
      </c>
      <c r="Q93" s="1">
        <f t="shared" si="11"/>
        <v>22.995666666666665</v>
      </c>
      <c r="R93" s="1"/>
      <c r="S93" s="1"/>
      <c r="T93" s="1">
        <f t="shared" si="11"/>
        <v>-3.1069125683060292</v>
      </c>
      <c r="U93" s="1">
        <f t="shared" si="11"/>
        <v>1.9100819672131095</v>
      </c>
      <c r="V93" s="1">
        <f t="shared" si="11"/>
        <v>-0.7193005464480855</v>
      </c>
      <c r="W93" s="1">
        <f t="shared" si="11"/>
        <v>59.729333333333329</v>
      </c>
      <c r="X93" s="1"/>
      <c r="Y93" s="1"/>
      <c r="Z93" s="1">
        <f t="shared" si="11"/>
        <v>-10.237230676328494</v>
      </c>
      <c r="AA93" s="1">
        <f t="shared" si="11"/>
        <v>1.3472874396135275</v>
      </c>
      <c r="AB93" s="1">
        <f t="shared" si="11"/>
        <v>-1.9534070048309182</v>
      </c>
      <c r="AC93" s="1">
        <f t="shared" si="11"/>
        <v>-12.172666666666714</v>
      </c>
    </row>
    <row r="94" spans="1:29" x14ac:dyDescent="0.3">
      <c r="A94">
        <v>2</v>
      </c>
      <c r="B94" s="1">
        <f t="shared" ref="B94:AC94" si="12">B34-B3</f>
        <v>-5.8655244379569638</v>
      </c>
      <c r="C94" s="1">
        <f t="shared" si="12"/>
        <v>2.2582103675424747</v>
      </c>
      <c r="D94" s="1">
        <f t="shared" si="12"/>
        <v>-1.1170473987573928</v>
      </c>
      <c r="E94" s="1">
        <f t="shared" si="12"/>
        <v>33.093333333333703</v>
      </c>
      <c r="F94" s="1"/>
      <c r="G94" s="1"/>
      <c r="H94" s="1">
        <f t="shared" si="12"/>
        <v>-6.8217731638418968</v>
      </c>
      <c r="I94" s="1">
        <f t="shared" si="12"/>
        <v>2.4240531073446334</v>
      </c>
      <c r="J94" s="1">
        <f t="shared" si="12"/>
        <v>-1.490240583804141</v>
      </c>
      <c r="K94" s="1">
        <f t="shared" si="12"/>
        <v>-0.32666666666666655</v>
      </c>
      <c r="L94" s="1"/>
      <c r="M94" s="1"/>
      <c r="N94" s="1">
        <f t="shared" si="12"/>
        <v>-8.0063985507246116</v>
      </c>
      <c r="O94" s="1">
        <f t="shared" si="12"/>
        <v>2.8088152173912988</v>
      </c>
      <c r="P94" s="1">
        <f t="shared" si="12"/>
        <v>-1.0453369565217407</v>
      </c>
      <c r="Q94" s="1">
        <f t="shared" si="12"/>
        <v>24.73933333333332</v>
      </c>
      <c r="R94" s="1"/>
      <c r="S94" s="1"/>
      <c r="T94" s="1">
        <f t="shared" si="12"/>
        <v>-3.1367103825136837</v>
      </c>
      <c r="U94" s="1">
        <f t="shared" si="12"/>
        <v>1.9186666666666667</v>
      </c>
      <c r="V94" s="1">
        <f t="shared" si="12"/>
        <v>-0.71484972677595238</v>
      </c>
      <c r="W94" s="1">
        <f t="shared" si="12"/>
        <v>70.296222222222241</v>
      </c>
      <c r="X94" s="1"/>
      <c r="Y94" s="1"/>
      <c r="Z94" s="1">
        <f t="shared" si="12"/>
        <v>-10.015553140096557</v>
      </c>
      <c r="AA94" s="1">
        <f t="shared" si="12"/>
        <v>1.3243707729468674</v>
      </c>
      <c r="AB94" s="1">
        <f t="shared" si="12"/>
        <v>-1.9733961352657055</v>
      </c>
      <c r="AC94" s="1">
        <f t="shared" si="12"/>
        <v>-9.3267777777778065</v>
      </c>
    </row>
    <row r="95" spans="1:29" x14ac:dyDescent="0.3">
      <c r="A95">
        <v>3</v>
      </c>
      <c r="B95" s="1">
        <f t="shared" ref="B95:AC95" si="13">B35-B4</f>
        <v>-6.0068048656336259</v>
      </c>
      <c r="C95" s="1">
        <f t="shared" si="13"/>
        <v>2.2740985278339174</v>
      </c>
      <c r="D95" s="1">
        <f t="shared" si="13"/>
        <v>-1.0730623325099167</v>
      </c>
      <c r="E95" s="1">
        <f t="shared" si="13"/>
        <v>22.809666666666658</v>
      </c>
      <c r="F95" s="1"/>
      <c r="G95" s="1"/>
      <c r="H95" s="1">
        <f t="shared" si="13"/>
        <v>-7.3544306026366257</v>
      </c>
      <c r="I95" s="1">
        <f t="shared" si="13"/>
        <v>2.4818165725047159</v>
      </c>
      <c r="J95" s="1">
        <f t="shared" si="13"/>
        <v>-1.4248333333333285</v>
      </c>
      <c r="K95" s="1">
        <f t="shared" si="13"/>
        <v>-0.17366666666666664</v>
      </c>
      <c r="L95" s="1"/>
      <c r="M95" s="1"/>
      <c r="N95" s="1">
        <f t="shared" si="13"/>
        <v>-8.1587210144926985</v>
      </c>
      <c r="O95" s="1">
        <f t="shared" si="13"/>
        <v>2.8378514492753553</v>
      </c>
      <c r="P95" s="1">
        <f t="shared" si="13"/>
        <v>-1.0206992753623219</v>
      </c>
      <c r="Q95" s="1">
        <f t="shared" si="13"/>
        <v>20.638333333333364</v>
      </c>
      <c r="R95" s="1"/>
      <c r="S95" s="1"/>
      <c r="T95" s="1">
        <f t="shared" si="13"/>
        <v>-2.9978169398906402</v>
      </c>
      <c r="U95" s="1">
        <f t="shared" si="13"/>
        <v>1.9104371584699571</v>
      </c>
      <c r="V95" s="1">
        <f t="shared" si="13"/>
        <v>-0.66950273224044921</v>
      </c>
      <c r="W95" s="1">
        <f t="shared" si="13"/>
        <v>64.713555555555445</v>
      </c>
      <c r="X95" s="1"/>
      <c r="Y95" s="1"/>
      <c r="Z95" s="1">
        <f t="shared" si="13"/>
        <v>-10.394286231884081</v>
      </c>
      <c r="AA95" s="1">
        <f t="shared" si="13"/>
        <v>1.3452729468599003</v>
      </c>
      <c r="AB95" s="1">
        <f t="shared" si="13"/>
        <v>-1.9363574879227023</v>
      </c>
      <c r="AC95" s="1">
        <f t="shared" si="13"/>
        <v>-14.836333333333357</v>
      </c>
    </row>
    <row r="96" spans="1:29" x14ac:dyDescent="0.3">
      <c r="A96">
        <v>4</v>
      </c>
      <c r="B96" s="1">
        <f t="shared" ref="B96:AC96" si="14">B36-B5</f>
        <v>-5.8143795768145878</v>
      </c>
      <c r="C96" s="1">
        <f t="shared" si="14"/>
        <v>2.2626256082041998</v>
      </c>
      <c r="D96" s="1">
        <f t="shared" si="14"/>
        <v>-1.0817161339421624</v>
      </c>
      <c r="E96" s="1">
        <f t="shared" si="14"/>
        <v>32.396999999999821</v>
      </c>
      <c r="F96" s="1"/>
      <c r="G96" s="1"/>
      <c r="H96" s="1">
        <f t="shared" si="14"/>
        <v>-6.8191294726930209</v>
      </c>
      <c r="I96" s="1">
        <f t="shared" si="14"/>
        <v>2.4279725047080909</v>
      </c>
      <c r="J96" s="1">
        <f t="shared" si="14"/>
        <v>-1.4854391713747646</v>
      </c>
      <c r="K96" s="1">
        <f t="shared" si="14"/>
        <v>-0.23766666666666658</v>
      </c>
      <c r="L96" s="1"/>
      <c r="M96" s="1"/>
      <c r="N96" s="1">
        <f t="shared" si="14"/>
        <v>-8.0522608695652593</v>
      </c>
      <c r="O96" s="1">
        <f t="shared" si="14"/>
        <v>2.8340905797101428</v>
      </c>
      <c r="P96" s="1">
        <f t="shared" si="14"/>
        <v>-0.99170652173912188</v>
      </c>
      <c r="Q96" s="1">
        <f t="shared" si="14"/>
        <v>22.23566666666666</v>
      </c>
      <c r="R96" s="1"/>
      <c r="S96" s="1"/>
      <c r="T96" s="1">
        <f t="shared" si="14"/>
        <v>-2.9889071038251416</v>
      </c>
      <c r="U96" s="1">
        <f t="shared" si="14"/>
        <v>1.9157978142076466</v>
      </c>
      <c r="V96" s="1">
        <f t="shared" si="14"/>
        <v>-0.66224590163933783</v>
      </c>
      <c r="W96" s="1">
        <f t="shared" si="14"/>
        <v>75.131444444444298</v>
      </c>
      <c r="X96" s="1"/>
      <c r="Y96" s="1"/>
      <c r="Z96" s="1">
        <f t="shared" si="14"/>
        <v>-10.180149758454064</v>
      </c>
      <c r="AA96" s="1">
        <f t="shared" si="14"/>
        <v>1.3194516908212535</v>
      </c>
      <c r="AB96" s="1">
        <f t="shared" si="14"/>
        <v>-1.9556316425120812</v>
      </c>
      <c r="AC96" s="1">
        <f t="shared" si="14"/>
        <v>-12.374333333333283</v>
      </c>
    </row>
    <row r="97" spans="1:29" x14ac:dyDescent="0.3">
      <c r="A97">
        <v>5</v>
      </c>
      <c r="B97" s="1">
        <f t="shared" ref="B97:AC97" si="15">B37-B6</f>
        <v>-6.032110609576506</v>
      </c>
      <c r="C97" s="1">
        <f t="shared" si="15"/>
        <v>2.2857431968460702</v>
      </c>
      <c r="D97" s="1">
        <f t="shared" si="15"/>
        <v>-1.0087798013823459</v>
      </c>
      <c r="E97" s="1">
        <f t="shared" si="15"/>
        <v>21.740000000000236</v>
      </c>
      <c r="F97" s="1"/>
      <c r="G97" s="1"/>
      <c r="H97" s="1">
        <f t="shared" si="15"/>
        <v>-7.3709634651600027</v>
      </c>
      <c r="I97" s="1">
        <f t="shared" si="15"/>
        <v>2.4991894538606481</v>
      </c>
      <c r="J97" s="1">
        <f t="shared" si="15"/>
        <v>-1.385756967984932</v>
      </c>
      <c r="K97" s="1">
        <f t="shared" si="15"/>
        <v>-0.11033333333333331</v>
      </c>
      <c r="L97" s="1"/>
      <c r="M97" s="1"/>
      <c r="N97" s="1">
        <f t="shared" si="15"/>
        <v>-8.3561050724637767</v>
      </c>
      <c r="O97" s="1">
        <f t="shared" si="15"/>
        <v>2.8635905797101486</v>
      </c>
      <c r="P97" s="1">
        <f t="shared" si="15"/>
        <v>-0.89784057971013809</v>
      </c>
      <c r="Q97" s="1">
        <f t="shared" si="15"/>
        <v>17.925333333333327</v>
      </c>
      <c r="R97" s="1"/>
      <c r="S97" s="1"/>
      <c r="T97" s="1">
        <f t="shared" si="15"/>
        <v>-2.9531693989071641</v>
      </c>
      <c r="U97" s="1">
        <f t="shared" si="15"/>
        <v>1.9145245901639321</v>
      </c>
      <c r="V97" s="1">
        <f t="shared" si="15"/>
        <v>-0.61193169398907088</v>
      </c>
      <c r="W97" s="1">
        <f t="shared" si="15"/>
        <v>69.175666666666643</v>
      </c>
      <c r="X97" s="1"/>
      <c r="Y97" s="1"/>
      <c r="Z97" s="1">
        <f t="shared" si="15"/>
        <v>-10.533958937198037</v>
      </c>
      <c r="AA97" s="1">
        <f t="shared" si="15"/>
        <v>1.3522318840579715</v>
      </c>
      <c r="AB97" s="1">
        <f t="shared" si="15"/>
        <v>-1.9021364734299482</v>
      </c>
      <c r="AC97" s="1">
        <f t="shared" si="15"/>
        <v>-16.935555555555567</v>
      </c>
    </row>
    <row r="98" spans="1:29" x14ac:dyDescent="0.3">
      <c r="A98">
        <v>6</v>
      </c>
      <c r="B98" s="1">
        <f t="shared" ref="B98:AC98" si="16">B38-B7</f>
        <v>-5.8221554108341422</v>
      </c>
      <c r="C98" s="1">
        <f t="shared" si="16"/>
        <v>2.2727572747461124</v>
      </c>
      <c r="D98" s="1">
        <f t="shared" si="16"/>
        <v>-1.0166285575267544</v>
      </c>
      <c r="E98" s="1">
        <f t="shared" si="16"/>
        <v>31.03133333333335</v>
      </c>
      <c r="F98" s="1"/>
      <c r="G98" s="1"/>
      <c r="H98" s="1">
        <f t="shared" si="16"/>
        <v>-6.8443153483991637</v>
      </c>
      <c r="I98" s="1">
        <f t="shared" si="16"/>
        <v>2.4466934086628989</v>
      </c>
      <c r="J98" s="1">
        <f t="shared" si="16"/>
        <v>-1.4442293785310696</v>
      </c>
      <c r="K98" s="1">
        <f t="shared" si="16"/>
        <v>-0.14866666666666667</v>
      </c>
      <c r="L98" s="1"/>
      <c r="M98" s="1"/>
      <c r="N98" s="1">
        <f t="shared" si="16"/>
        <v>-8.2218985507247453</v>
      </c>
      <c r="O98" s="1">
        <f t="shared" si="16"/>
        <v>2.8577427536231852</v>
      </c>
      <c r="P98" s="1">
        <f t="shared" si="16"/>
        <v>-0.87270289855072392</v>
      </c>
      <c r="Q98" s="1">
        <f t="shared" si="16"/>
        <v>19.468666666666707</v>
      </c>
      <c r="R98" s="1"/>
      <c r="S98" s="1"/>
      <c r="T98" s="1">
        <f t="shared" si="16"/>
        <v>-2.9106092896175539</v>
      </c>
      <c r="U98" s="1">
        <f t="shared" si="16"/>
        <v>1.9177650273224067</v>
      </c>
      <c r="V98" s="1">
        <f t="shared" si="16"/>
        <v>-0.60342896174862304</v>
      </c>
      <c r="W98" s="1">
        <f t="shared" si="16"/>
        <v>79.186999999999955</v>
      </c>
      <c r="X98" s="1"/>
      <c r="Y98" s="1"/>
      <c r="Z98" s="1">
        <f t="shared" si="16"/>
        <v>-10.324083333333363</v>
      </c>
      <c r="AA98" s="1">
        <f t="shared" si="16"/>
        <v>1.3262765700483072</v>
      </c>
      <c r="AB98" s="1">
        <f t="shared" si="16"/>
        <v>-1.9168417874396191</v>
      </c>
      <c r="AC98" s="1">
        <f t="shared" si="16"/>
        <v>-14.820888888888959</v>
      </c>
    </row>
    <row r="99" spans="1:29" x14ac:dyDescent="0.3">
      <c r="A99">
        <v>7</v>
      </c>
      <c r="B99" s="1">
        <f t="shared" ref="B99:AC99" si="17">B39-B8</f>
        <v>-6.2136812810340132</v>
      </c>
      <c r="C99" s="1">
        <f t="shared" si="17"/>
        <v>2.2984572073758081</v>
      </c>
      <c r="D99" s="1">
        <f t="shared" si="17"/>
        <v>-0.94487426703594934</v>
      </c>
      <c r="E99" s="1">
        <f t="shared" si="17"/>
        <v>21.12733333333324</v>
      </c>
      <c r="F99" s="1"/>
      <c r="G99" s="1"/>
      <c r="H99" s="1">
        <f t="shared" si="17"/>
        <v>-7.5137363465159979</v>
      </c>
      <c r="I99" s="1">
        <f t="shared" si="17"/>
        <v>2.5229622410546177</v>
      </c>
      <c r="J99" s="1">
        <f t="shared" si="17"/>
        <v>-1.3505854990583721</v>
      </c>
      <c r="K99" s="1">
        <f t="shared" si="17"/>
        <v>-6.3E-2</v>
      </c>
      <c r="L99" s="1"/>
      <c r="M99" s="1"/>
      <c r="N99" s="1">
        <f t="shared" si="17"/>
        <v>-8.8924239130434444</v>
      </c>
      <c r="O99" s="1">
        <f t="shared" si="17"/>
        <v>2.8871413043478285</v>
      </c>
      <c r="P99" s="1">
        <f t="shared" si="17"/>
        <v>-0.77087681159420995</v>
      </c>
      <c r="Q99" s="1">
        <f t="shared" si="17"/>
        <v>15.173333333333346</v>
      </c>
      <c r="R99" s="1"/>
      <c r="S99" s="1"/>
      <c r="T99" s="1">
        <f t="shared" si="17"/>
        <v>-3.0045054644807863</v>
      </c>
      <c r="U99" s="1">
        <f t="shared" si="17"/>
        <v>1.9177267759562788</v>
      </c>
      <c r="V99" s="1">
        <f t="shared" si="17"/>
        <v>-0.55904371584699319</v>
      </c>
      <c r="W99" s="1">
        <f t="shared" si="17"/>
        <v>69.600222222222158</v>
      </c>
      <c r="X99" s="1"/>
      <c r="Y99" s="1"/>
      <c r="Z99" s="1">
        <f t="shared" si="17"/>
        <v>-10.693182367149774</v>
      </c>
      <c r="AA99" s="1">
        <f t="shared" si="17"/>
        <v>1.3636449275362317</v>
      </c>
      <c r="AB99" s="1">
        <f t="shared" si="17"/>
        <v>-1.8691340579710136</v>
      </c>
      <c r="AC99" s="1">
        <f t="shared" si="17"/>
        <v>-18.049333333333323</v>
      </c>
    </row>
    <row r="100" spans="1:29" x14ac:dyDescent="0.3">
      <c r="A100">
        <v>8</v>
      </c>
      <c r="B100" s="1">
        <f t="shared" ref="B100:AC100" si="18">B40-B9</f>
        <v>-5.9950806697108021</v>
      </c>
      <c r="C100" s="1">
        <f t="shared" si="18"/>
        <v>2.2855072360705755</v>
      </c>
      <c r="D100" s="1">
        <f t="shared" si="18"/>
        <v>-0.95221686253961124</v>
      </c>
      <c r="E100" s="1">
        <f t="shared" si="18"/>
        <v>29.984333333333211</v>
      </c>
      <c r="F100" s="1"/>
      <c r="G100" s="1"/>
      <c r="H100" s="1">
        <f t="shared" si="18"/>
        <v>-7.0040938794727481</v>
      </c>
      <c r="I100" s="1">
        <f t="shared" si="18"/>
        <v>2.475182862523539</v>
      </c>
      <c r="J100" s="1">
        <f t="shared" si="18"/>
        <v>-1.405555555555555</v>
      </c>
      <c r="K100" s="1">
        <f t="shared" si="18"/>
        <v>-7.2666666666666629E-2</v>
      </c>
      <c r="L100" s="1"/>
      <c r="M100" s="1"/>
      <c r="N100" s="1">
        <f t="shared" si="18"/>
        <v>-8.744753623188501</v>
      </c>
      <c r="O100" s="1">
        <f t="shared" si="18"/>
        <v>2.8808079710144909</v>
      </c>
      <c r="P100" s="1">
        <f t="shared" si="18"/>
        <v>-0.74993115942029576</v>
      </c>
      <c r="Q100" s="1">
        <f t="shared" si="18"/>
        <v>16.861000000000033</v>
      </c>
      <c r="R100" s="1"/>
      <c r="S100" s="1"/>
      <c r="T100" s="1">
        <f t="shared" si="18"/>
        <v>-2.946573770491824</v>
      </c>
      <c r="U100" s="1">
        <f t="shared" si="18"/>
        <v>1.9192185792349719</v>
      </c>
      <c r="V100" s="1">
        <f t="shared" si="18"/>
        <v>-0.5511092896174894</v>
      </c>
      <c r="W100" s="1">
        <f t="shared" si="18"/>
        <v>78.782666666666671</v>
      </c>
      <c r="X100" s="1"/>
      <c r="Y100" s="1"/>
      <c r="Z100" s="1">
        <f t="shared" si="18"/>
        <v>-10.470698067632924</v>
      </c>
      <c r="AA100" s="1">
        <f t="shared" si="18"/>
        <v>1.3380905797101512</v>
      </c>
      <c r="AB100" s="1">
        <f t="shared" si="18"/>
        <v>-1.878751207729465</v>
      </c>
      <c r="AC100" s="1">
        <f t="shared" si="18"/>
        <v>-16.22322222222212</v>
      </c>
    </row>
    <row r="101" spans="1:29" x14ac:dyDescent="0.3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</row>
    <row r="102" spans="1:29" x14ac:dyDescent="0.3">
      <c r="A102" t="s">
        <v>55</v>
      </c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</row>
    <row r="103" spans="1:29" x14ac:dyDescent="0.3">
      <c r="A103">
        <v>1</v>
      </c>
      <c r="B103" s="1">
        <f>B42-B2</f>
        <v>-6.1599366195073344</v>
      </c>
      <c r="C103" s="1">
        <f t="shared" ref="C103:AC110" si="19">C42-C2</f>
        <v>2.4504492751453419</v>
      </c>
      <c r="D103" s="1">
        <f t="shared" si="19"/>
        <v>6.2617593632257496E-2</v>
      </c>
      <c r="E103" s="1">
        <f t="shared" si="19"/>
        <v>129.31633333333343</v>
      </c>
      <c r="F103" s="1"/>
      <c r="G103" s="1"/>
      <c r="H103" s="1">
        <f t="shared" si="19"/>
        <v>-9.1543502824858933</v>
      </c>
      <c r="I103" s="1">
        <f t="shared" si="19"/>
        <v>2.7014736346515953</v>
      </c>
      <c r="J103" s="1">
        <f t="shared" si="19"/>
        <v>2.4500094161961528E-2</v>
      </c>
      <c r="K103" s="1">
        <f t="shared" si="19"/>
        <v>-0.11266666666666669</v>
      </c>
      <c r="L103" s="1"/>
      <c r="M103" s="1"/>
      <c r="N103" s="1">
        <f t="shared" si="19"/>
        <v>-7.4259420289855029</v>
      </c>
      <c r="O103" s="1">
        <f t="shared" si="19"/>
        <v>2.8782608695652243</v>
      </c>
      <c r="P103" s="1">
        <f>P42-P2</f>
        <v>-4.8152173913074137E-3</v>
      </c>
      <c r="Q103" s="1">
        <f t="shared" si="19"/>
        <v>32.360666666666702</v>
      </c>
      <c r="R103" s="1"/>
      <c r="S103" s="1"/>
      <c r="T103" s="1">
        <f t="shared" si="19"/>
        <v>-1.9635928961747879</v>
      </c>
      <c r="U103" s="1">
        <f t="shared" si="19"/>
        <v>2.1784918032786891</v>
      </c>
      <c r="V103" s="1">
        <f t="shared" si="19"/>
        <v>2.6265027322402545E-2</v>
      </c>
      <c r="W103" s="1">
        <f t="shared" si="19"/>
        <v>21.450444444444429</v>
      </c>
      <c r="X103" s="1"/>
      <c r="Y103" s="1"/>
      <c r="Z103" s="1">
        <f t="shared" si="19"/>
        <v>-11.007472222222248</v>
      </c>
      <c r="AA103" s="1">
        <f t="shared" si="19"/>
        <v>1.4198961352656951</v>
      </c>
      <c r="AB103" s="1">
        <f t="shared" si="19"/>
        <v>-0.59101570048308716</v>
      </c>
      <c r="AC103" s="1">
        <f t="shared" si="19"/>
        <v>12.637333333333288</v>
      </c>
    </row>
    <row r="104" spans="1:29" x14ac:dyDescent="0.3">
      <c r="A104">
        <v>2</v>
      </c>
      <c r="B104" s="1">
        <f t="shared" ref="B104:Q110" si="20">B43-B3</f>
        <v>-6.104154297976379</v>
      </c>
      <c r="C104" s="1">
        <f t="shared" si="20"/>
        <v>2.4295620405719021</v>
      </c>
      <c r="D104" s="1">
        <f t="shared" si="20"/>
        <v>5.2152406617263836E-2</v>
      </c>
      <c r="E104" s="1">
        <f t="shared" si="20"/>
        <v>149.99133333333327</v>
      </c>
      <c r="F104" s="1"/>
      <c r="G104" s="1"/>
      <c r="H104" s="1">
        <f t="shared" si="20"/>
        <v>-8.8654259887006788</v>
      </c>
      <c r="I104" s="1">
        <f t="shared" si="20"/>
        <v>2.6375149717514219</v>
      </c>
      <c r="J104" s="1">
        <f t="shared" si="20"/>
        <v>1.3877777777778988E-2</v>
      </c>
      <c r="K104" s="1">
        <f t="shared" si="20"/>
        <v>-0.20466666666666658</v>
      </c>
      <c r="L104" s="1"/>
      <c r="M104" s="1"/>
      <c r="N104" s="1">
        <f t="shared" si="20"/>
        <v>-7.5920942028985792</v>
      </c>
      <c r="O104" s="1">
        <f t="shared" si="20"/>
        <v>2.8619347826087065</v>
      </c>
      <c r="P104" s="1">
        <f t="shared" si="20"/>
        <v>1.0869565217390686E-2</v>
      </c>
      <c r="Q104" s="1">
        <f t="shared" si="20"/>
        <v>35.320333333333309</v>
      </c>
      <c r="R104" s="1"/>
      <c r="S104" s="1"/>
      <c r="T104" s="1">
        <f t="shared" si="19"/>
        <v>-1.9987595628414283</v>
      </c>
      <c r="U104" s="1">
        <f t="shared" si="19"/>
        <v>2.1729289617486316</v>
      </c>
      <c r="V104" s="1">
        <f t="shared" si="19"/>
        <v>6.0355191256817875E-3</v>
      </c>
      <c r="W104" s="1">
        <f t="shared" si="19"/>
        <v>28.820666666666682</v>
      </c>
      <c r="X104" s="1"/>
      <c r="Y104" s="1"/>
      <c r="Z104" s="1">
        <f t="shared" si="19"/>
        <v>-10.853391304347809</v>
      </c>
      <c r="AA104" s="1">
        <f t="shared" si="19"/>
        <v>1.3955905797101487</v>
      </c>
      <c r="AB104" s="1">
        <f t="shared" si="19"/>
        <v>-0.57140338164251503</v>
      </c>
      <c r="AC104" s="1">
        <f t="shared" si="19"/>
        <v>17.340999999999951</v>
      </c>
    </row>
    <row r="105" spans="1:29" x14ac:dyDescent="0.3">
      <c r="A105">
        <v>3</v>
      </c>
      <c r="B105" s="1">
        <f t="shared" si="20"/>
        <v>-6.0681956658431773</v>
      </c>
      <c r="C105" s="1">
        <f t="shared" si="19"/>
        <v>2.4645940065374141</v>
      </c>
      <c r="D105" s="1">
        <f t="shared" si="19"/>
        <v>7.7600568904859557E-2</v>
      </c>
      <c r="E105" s="1">
        <f t="shared" si="19"/>
        <v>130.23466666666684</v>
      </c>
      <c r="F105" s="1"/>
      <c r="G105" s="1"/>
      <c r="H105" s="1">
        <f t="shared" si="19"/>
        <v>-9.0072337099811648</v>
      </c>
      <c r="I105" s="1">
        <f t="shared" si="19"/>
        <v>2.721986064030137</v>
      </c>
      <c r="J105" s="1">
        <f t="shared" si="19"/>
        <v>5.197485875705965E-2</v>
      </c>
      <c r="K105" s="1">
        <f t="shared" si="19"/>
        <v>-7.566666666666666E-2</v>
      </c>
      <c r="L105" s="1"/>
      <c r="M105" s="1"/>
      <c r="N105" s="1">
        <f t="shared" si="19"/>
        <v>-7.3745688405796841</v>
      </c>
      <c r="O105" s="1">
        <f t="shared" si="19"/>
        <v>2.912025362318829</v>
      </c>
      <c r="P105" s="1">
        <f t="shared" si="19"/>
        <v>1.4257246376811139E-2</v>
      </c>
      <c r="Q105" s="1">
        <f t="shared" si="19"/>
        <v>30.80033333333337</v>
      </c>
      <c r="R105" s="1"/>
      <c r="S105" s="1"/>
      <c r="T105" s="1">
        <f t="shared" si="19"/>
        <v>-1.8100464480873484</v>
      </c>
      <c r="U105" s="1">
        <f t="shared" si="19"/>
        <v>2.1807896174863437</v>
      </c>
      <c r="V105" s="1">
        <f t="shared" si="19"/>
        <v>4.0210382513652831E-2</v>
      </c>
      <c r="W105" s="1">
        <f t="shared" si="19"/>
        <v>23.793555555555486</v>
      </c>
      <c r="X105" s="1"/>
      <c r="Y105" s="1"/>
      <c r="Z105" s="1">
        <f t="shared" si="19"/>
        <v>-11.007281400966264</v>
      </c>
      <c r="AA105" s="1">
        <f t="shared" si="19"/>
        <v>1.4174468599033823</v>
      </c>
      <c r="AB105" s="1">
        <f t="shared" si="19"/>
        <v>-0.60463043478260303</v>
      </c>
      <c r="AC105" s="1">
        <f t="shared" si="19"/>
        <v>8.7270000000000323</v>
      </c>
    </row>
    <row r="106" spans="1:29" x14ac:dyDescent="0.3">
      <c r="A106">
        <v>4</v>
      </c>
      <c r="B106" s="1">
        <f t="shared" si="20"/>
        <v>-5.9905458766874347</v>
      </c>
      <c r="C106" s="1">
        <f t="shared" si="19"/>
        <v>2.438701833969585</v>
      </c>
      <c r="D106" s="1">
        <f t="shared" si="19"/>
        <v>6.5418674052448722E-2</v>
      </c>
      <c r="E106" s="1">
        <f t="shared" si="19"/>
        <v>151.13800000000003</v>
      </c>
      <c r="F106" s="1"/>
      <c r="G106" s="1"/>
      <c r="H106" s="1">
        <f t="shared" si="19"/>
        <v>-8.7401351224105213</v>
      </c>
      <c r="I106" s="1">
        <f t="shared" si="19"/>
        <v>2.6521561205273052</v>
      </c>
      <c r="J106" s="1">
        <f t="shared" si="19"/>
        <v>3.8740772128061707E-2</v>
      </c>
      <c r="K106" s="1">
        <f t="shared" si="19"/>
        <v>-0.14566666666666658</v>
      </c>
      <c r="L106" s="1"/>
      <c r="M106" s="1"/>
      <c r="N106" s="1">
        <f t="shared" si="19"/>
        <v>-7.5156739130433152</v>
      </c>
      <c r="O106" s="1">
        <f t="shared" si="19"/>
        <v>2.8890905797101496</v>
      </c>
      <c r="P106" s="1">
        <f t="shared" si="19"/>
        <v>2.9445652173915704E-2</v>
      </c>
      <c r="Q106" s="1">
        <f t="shared" si="19"/>
        <v>34.014666666666628</v>
      </c>
      <c r="R106" s="1"/>
      <c r="S106" s="1"/>
      <c r="T106" s="1">
        <f t="shared" si="19"/>
        <v>-1.7938743169398776</v>
      </c>
      <c r="U106" s="1">
        <f t="shared" si="19"/>
        <v>2.1710437158469986</v>
      </c>
      <c r="V106" s="1">
        <f t="shared" si="19"/>
        <v>2.061475409836433E-2</v>
      </c>
      <c r="W106" s="1">
        <f t="shared" si="19"/>
        <v>31.574777777777683</v>
      </c>
      <c r="X106" s="1"/>
      <c r="Y106" s="1"/>
      <c r="Z106" s="1">
        <f t="shared" si="19"/>
        <v>-10.858120772946904</v>
      </c>
      <c r="AA106" s="1">
        <f t="shared" si="19"/>
        <v>1.3892342995169109</v>
      </c>
      <c r="AB106" s="1">
        <f t="shared" si="19"/>
        <v>-0.58845772946859753</v>
      </c>
      <c r="AC106" s="1">
        <f t="shared" si="19"/>
        <v>12.647888888888872</v>
      </c>
    </row>
    <row r="107" spans="1:29" x14ac:dyDescent="0.3">
      <c r="A107">
        <v>5</v>
      </c>
      <c r="B107" s="1">
        <f t="shared" si="20"/>
        <v>-6.0352253412180801</v>
      </c>
      <c r="C107" s="1">
        <f t="shared" si="19"/>
        <v>2.4873314669261717</v>
      </c>
      <c r="D107" s="1">
        <f t="shared" si="19"/>
        <v>9.500536966339368E-2</v>
      </c>
      <c r="E107" s="1">
        <f t="shared" si="19"/>
        <v>126.57400000000018</v>
      </c>
      <c r="F107" s="1"/>
      <c r="G107" s="1"/>
      <c r="H107" s="1">
        <f t="shared" si="19"/>
        <v>-8.9141089453860047</v>
      </c>
      <c r="I107" s="1">
        <f t="shared" si="19"/>
        <v>2.7447654425612029</v>
      </c>
      <c r="J107" s="1">
        <f t="shared" si="19"/>
        <v>8.9268455743880537E-2</v>
      </c>
      <c r="K107" s="1">
        <f t="shared" si="19"/>
        <v>-9.3333333333332769E-3</v>
      </c>
      <c r="L107" s="1"/>
      <c r="M107" s="1"/>
      <c r="N107" s="1">
        <f t="shared" si="19"/>
        <v>-7.4150181159419617</v>
      </c>
      <c r="O107" s="1">
        <f t="shared" si="19"/>
        <v>2.95152536231884</v>
      </c>
      <c r="P107" s="1">
        <f t="shared" si="19"/>
        <v>2.6072463768120002E-2</v>
      </c>
      <c r="Q107" s="1">
        <f t="shared" si="19"/>
        <v>28.862333333333339</v>
      </c>
      <c r="R107" s="1"/>
      <c r="S107" s="1"/>
      <c r="T107" s="1">
        <f t="shared" si="19"/>
        <v>-1.7092513661202986</v>
      </c>
      <c r="U107" s="1">
        <f t="shared" si="19"/>
        <v>2.1960000000000051</v>
      </c>
      <c r="V107" s="1">
        <f t="shared" si="19"/>
        <v>6.0453551912562631E-2</v>
      </c>
      <c r="W107" s="1">
        <f t="shared" si="19"/>
        <v>26.392333333333283</v>
      </c>
      <c r="X107" s="1"/>
      <c r="Y107" s="1"/>
      <c r="Z107" s="1">
        <f t="shared" si="19"/>
        <v>-11.014985507246394</v>
      </c>
      <c r="AA107" s="1">
        <f t="shared" si="19"/>
        <v>1.4203599033816481</v>
      </c>
      <c r="AB107" s="1">
        <f t="shared" si="19"/>
        <v>-0.62272826086956101</v>
      </c>
      <c r="AC107" s="1">
        <f t="shared" si="19"/>
        <v>4.2511111111110722</v>
      </c>
    </row>
    <row r="108" spans="1:29" x14ac:dyDescent="0.3">
      <c r="A108">
        <v>6</v>
      </c>
      <c r="B108" s="1">
        <f t="shared" si="20"/>
        <v>-5.9326491903086094</v>
      </c>
      <c r="C108" s="1">
        <f t="shared" si="19"/>
        <v>2.4596126681138841</v>
      </c>
      <c r="D108" s="1">
        <f t="shared" si="19"/>
        <v>8.2973478553789448E-2</v>
      </c>
      <c r="E108" s="1">
        <f t="shared" si="19"/>
        <v>146.31833333333338</v>
      </c>
      <c r="F108" s="1"/>
      <c r="G108" s="1"/>
      <c r="H108" s="1">
        <f t="shared" si="19"/>
        <v>-8.6717893596985505</v>
      </c>
      <c r="I108" s="1">
        <f t="shared" si="19"/>
        <v>2.6742185499058309</v>
      </c>
      <c r="J108" s="1">
        <f t="shared" si="19"/>
        <v>7.7162146892657546E-2</v>
      </c>
      <c r="K108" s="1">
        <f t="shared" si="19"/>
        <v>-4.2666666666666631E-2</v>
      </c>
      <c r="L108" s="1"/>
      <c r="M108" s="1"/>
      <c r="N108" s="1">
        <f t="shared" si="19"/>
        <v>-7.5220289855074043</v>
      </c>
      <c r="O108" s="1">
        <f t="shared" si="19"/>
        <v>2.9264601449275318</v>
      </c>
      <c r="P108" s="1">
        <f t="shared" si="19"/>
        <v>4.1710144927538551E-2</v>
      </c>
      <c r="Q108" s="1">
        <f t="shared" si="19"/>
        <v>31.962666666666678</v>
      </c>
      <c r="R108" s="1"/>
      <c r="S108" s="1"/>
      <c r="T108" s="1">
        <f t="shared" si="19"/>
        <v>-1.6393142076503011</v>
      </c>
      <c r="U108" s="1">
        <f t="shared" si="19"/>
        <v>2.1838633879781462</v>
      </c>
      <c r="V108" s="1">
        <f t="shared" si="19"/>
        <v>4.1702185792352964E-2</v>
      </c>
      <c r="W108" s="1">
        <f t="shared" si="19"/>
        <v>34.422555555555562</v>
      </c>
      <c r="X108" s="1"/>
      <c r="Y108" s="1"/>
      <c r="Z108" s="1">
        <f t="shared" si="19"/>
        <v>-10.865411835748802</v>
      </c>
      <c r="AA108" s="1">
        <f t="shared" si="19"/>
        <v>1.3906364734299537</v>
      </c>
      <c r="AB108" s="1">
        <f t="shared" si="19"/>
        <v>-0.61187801932367947</v>
      </c>
      <c r="AC108" s="1">
        <f t="shared" si="19"/>
        <v>7.276888888888891</v>
      </c>
    </row>
    <row r="109" spans="1:29" x14ac:dyDescent="0.3">
      <c r="A109">
        <v>7</v>
      </c>
      <c r="B109" s="1">
        <f t="shared" si="20"/>
        <v>-6.1950330064625803</v>
      </c>
      <c r="C109" s="1">
        <f t="shared" si="19"/>
        <v>2.5107923896499251</v>
      </c>
      <c r="D109" s="1">
        <f t="shared" si="19"/>
        <v>0.11124090625546756</v>
      </c>
      <c r="E109" s="1">
        <f t="shared" si="19"/>
        <v>118.09833333333336</v>
      </c>
      <c r="F109" s="1"/>
      <c r="G109" s="1"/>
      <c r="H109" s="1">
        <f t="shared" si="19"/>
        <v>-9.0331702448211217</v>
      </c>
      <c r="I109" s="1">
        <f t="shared" si="19"/>
        <v>2.7680195856873766</v>
      </c>
      <c r="J109" s="1">
        <f t="shared" si="19"/>
        <v>0.13027410546139961</v>
      </c>
      <c r="K109" s="1">
        <f t="shared" si="19"/>
        <v>4.6000000000000013E-2</v>
      </c>
      <c r="L109" s="1"/>
      <c r="M109" s="1"/>
      <c r="N109" s="1">
        <f t="shared" si="19"/>
        <v>-7.8423043478260865</v>
      </c>
      <c r="O109" s="1">
        <f t="shared" si="19"/>
        <v>2.9894456521739201</v>
      </c>
      <c r="P109" s="1">
        <f t="shared" si="19"/>
        <v>2.7481884057966255E-2</v>
      </c>
      <c r="Q109" s="1">
        <f t="shared" si="19"/>
        <v>27.174333333333351</v>
      </c>
      <c r="R109" s="1"/>
      <c r="S109" s="1"/>
      <c r="T109" s="1">
        <f t="shared" si="19"/>
        <v>-1.6993989071037845</v>
      </c>
      <c r="U109" s="1">
        <f t="shared" si="19"/>
        <v>2.2136120218579229</v>
      </c>
      <c r="V109" s="1">
        <f t="shared" si="19"/>
        <v>8.1759562841533295E-2</v>
      </c>
      <c r="W109" s="1">
        <f t="shared" si="19"/>
        <v>27.650222222222169</v>
      </c>
      <c r="X109" s="1"/>
      <c r="Y109" s="1"/>
      <c r="Z109" s="1">
        <f t="shared" si="19"/>
        <v>-11.106032608695642</v>
      </c>
      <c r="AA109" s="1">
        <f t="shared" si="19"/>
        <v>1.4229323671497554</v>
      </c>
      <c r="AB109" s="1">
        <f t="shared" si="19"/>
        <v>-0.64326449275362307</v>
      </c>
      <c r="AC109" s="1">
        <f t="shared" si="19"/>
        <v>0.87400000000005207</v>
      </c>
    </row>
    <row r="110" spans="1:29" x14ac:dyDescent="0.3">
      <c r="A110">
        <v>8</v>
      </c>
      <c r="B110" s="1">
        <f t="shared" si="20"/>
        <v>-6.0742641340420107</v>
      </c>
      <c r="C110" s="1">
        <f t="shared" si="19"/>
        <v>2.4832314669261599</v>
      </c>
      <c r="D110" s="1">
        <f t="shared" si="19"/>
        <v>0.10150934451182181</v>
      </c>
      <c r="E110" s="1">
        <f t="shared" si="19"/>
        <v>135.92533333333347</v>
      </c>
      <c r="F110" s="1"/>
      <c r="G110" s="1"/>
      <c r="H110" s="1">
        <f t="shared" si="19"/>
        <v>-8.810943032015075</v>
      </c>
      <c r="I110" s="1">
        <f t="shared" si="19"/>
        <v>2.6994000941619589</v>
      </c>
      <c r="J110" s="1">
        <f t="shared" si="19"/>
        <v>0.12053596986816828</v>
      </c>
      <c r="K110" s="1">
        <f t="shared" si="19"/>
        <v>5.6333333333333346E-2</v>
      </c>
      <c r="L110" s="1"/>
      <c r="M110" s="1"/>
      <c r="N110" s="1">
        <f t="shared" si="19"/>
        <v>-7.9260688405797168</v>
      </c>
      <c r="O110" s="1">
        <f t="shared" si="19"/>
        <v>2.9654057971014396</v>
      </c>
      <c r="P110" s="1">
        <f t="shared" si="19"/>
        <v>4.5753623188407033E-2</v>
      </c>
      <c r="Q110" s="1">
        <f t="shared" si="19"/>
        <v>30.010000000000034</v>
      </c>
      <c r="R110" s="1"/>
      <c r="S110" s="1"/>
      <c r="T110" s="1">
        <f t="shared" si="19"/>
        <v>-1.5955491803279358</v>
      </c>
      <c r="U110" s="1">
        <f t="shared" si="19"/>
        <v>2.2001038251366083</v>
      </c>
      <c r="V110" s="1">
        <f t="shared" si="19"/>
        <v>6.4374316939883158E-2</v>
      </c>
      <c r="W110" s="1">
        <f t="shared" si="19"/>
        <v>35.838222222222157</v>
      </c>
      <c r="X110" s="1"/>
      <c r="Y110" s="1"/>
      <c r="Z110" s="1">
        <f t="shared" si="19"/>
        <v>-10.941277777777827</v>
      </c>
      <c r="AA110" s="1">
        <f t="shared" si="19"/>
        <v>1.3930181159420307</v>
      </c>
      <c r="AB110" s="1">
        <f t="shared" si="19"/>
        <v>-0.63917391304347149</v>
      </c>
      <c r="AC110" s="1">
        <f t="shared" si="19"/>
        <v>3.0767777777778349</v>
      </c>
    </row>
    <row r="112" spans="1:29" x14ac:dyDescent="0.3">
      <c r="A112" t="s">
        <v>56</v>
      </c>
    </row>
    <row r="113" spans="1:29" x14ac:dyDescent="0.3">
      <c r="A113">
        <v>1</v>
      </c>
      <c r="B113" s="1">
        <f>B53-B2</f>
        <v>-3.621424036230195</v>
      </c>
      <c r="C113" s="1">
        <f t="shared" ref="C113:AC113" si="21">C53-C2</f>
        <v>2.5271275669336539</v>
      </c>
      <c r="D113" s="1">
        <f t="shared" si="21"/>
        <v>-0.75044557726377192</v>
      </c>
      <c r="E113" s="1">
        <f t="shared" si="21"/>
        <v>48.713333333333367</v>
      </c>
      <c r="F113" s="1"/>
      <c r="G113" s="1"/>
      <c r="H113" s="1">
        <f t="shared" si="21"/>
        <v>-8.4653675141242388</v>
      </c>
      <c r="I113" s="1">
        <f t="shared" si="21"/>
        <v>2.5386185499058378</v>
      </c>
      <c r="J113" s="1">
        <f t="shared" si="21"/>
        <v>-1.0413945386064007</v>
      </c>
      <c r="K113" s="1">
        <f t="shared" si="21"/>
        <v>-0.29366666666666663</v>
      </c>
      <c r="L113" s="1"/>
      <c r="M113" s="1"/>
      <c r="N113" s="1">
        <f t="shared" si="21"/>
        <v>-4.9503115942028444</v>
      </c>
      <c r="O113" s="1">
        <f t="shared" si="21"/>
        <v>2.9683478260869691</v>
      </c>
      <c r="P113" s="1">
        <f t="shared" si="21"/>
        <v>-0.85659782608695423</v>
      </c>
      <c r="Q113" s="1">
        <f t="shared" si="21"/>
        <v>21.867666666666651</v>
      </c>
      <c r="R113" s="1"/>
      <c r="S113" s="1"/>
      <c r="T113" s="1">
        <f t="shared" si="21"/>
        <v>0.67348087431693671</v>
      </c>
      <c r="U113" s="1">
        <f t="shared" si="21"/>
        <v>2.423262295081976</v>
      </c>
      <c r="V113" s="1">
        <f t="shared" si="21"/>
        <v>-0.32942349726776143</v>
      </c>
      <c r="W113" s="1">
        <f t="shared" si="21"/>
        <v>68.748222222222239</v>
      </c>
      <c r="X113" s="1"/>
      <c r="Y113" s="1"/>
      <c r="Z113" s="1">
        <f t="shared" si="21"/>
        <v>-9.9315181159419978</v>
      </c>
      <c r="AA113" s="1">
        <f t="shared" si="21"/>
        <v>1.4018043478260829</v>
      </c>
      <c r="AB113" s="1">
        <f t="shared" si="21"/>
        <v>-1.9429480676328481</v>
      </c>
      <c r="AC113" s="1">
        <f t="shared" si="21"/>
        <v>-26.601555555555564</v>
      </c>
    </row>
    <row r="114" spans="1:29" x14ac:dyDescent="0.3">
      <c r="A114">
        <v>2</v>
      </c>
      <c r="B114" s="1">
        <f t="shared" ref="B114:AC114" si="22">B54-B3</f>
        <v>-3.4786964119069808</v>
      </c>
      <c r="C114" s="1">
        <f t="shared" si="22"/>
        <v>2.5170264540759106</v>
      </c>
      <c r="D114" s="1">
        <f t="shared" si="22"/>
        <v>-0.74695939067295569</v>
      </c>
      <c r="E114" s="1">
        <f t="shared" si="22"/>
        <v>65.673333333333517</v>
      </c>
      <c r="F114" s="1"/>
      <c r="G114" s="1"/>
      <c r="H114" s="1">
        <f t="shared" si="22"/>
        <v>-8.0479954802261204</v>
      </c>
      <c r="I114" s="1">
        <f t="shared" si="22"/>
        <v>2.4847016949152518</v>
      </c>
      <c r="J114" s="1">
        <f t="shared" si="22"/>
        <v>-1.0859629001883206</v>
      </c>
      <c r="K114" s="1">
        <f t="shared" si="22"/>
        <v>-0.38966666666666661</v>
      </c>
      <c r="L114" s="1"/>
      <c r="M114" s="1"/>
      <c r="N114" s="1">
        <f t="shared" si="22"/>
        <v>-4.7592463768116318</v>
      </c>
      <c r="O114" s="1">
        <f t="shared" si="22"/>
        <v>2.9766956521739232</v>
      </c>
      <c r="P114" s="1">
        <f t="shared" si="22"/>
        <v>-0.80276086956521908</v>
      </c>
      <c r="Q114" s="1">
        <f t="shared" si="22"/>
        <v>24.390333333333359</v>
      </c>
      <c r="R114" s="1"/>
      <c r="S114" s="1"/>
      <c r="T114" s="1">
        <f t="shared" si="22"/>
        <v>0.63179781420768677</v>
      </c>
      <c r="U114" s="1">
        <f t="shared" si="22"/>
        <v>2.4233797814207705</v>
      </c>
      <c r="V114" s="1">
        <f t="shared" si="22"/>
        <v>-0.32293989071037998</v>
      </c>
      <c r="W114" s="1">
        <f t="shared" si="22"/>
        <v>80.35288888888897</v>
      </c>
      <c r="X114" s="1"/>
      <c r="Y114" s="1"/>
      <c r="Z114" s="1">
        <f t="shared" si="22"/>
        <v>-9.7269057971013808</v>
      </c>
      <c r="AA114" s="1">
        <f t="shared" si="22"/>
        <v>1.3798780193236766</v>
      </c>
      <c r="AB114" s="1">
        <f t="shared" si="22"/>
        <v>-1.9700507246376908</v>
      </c>
      <c r="AC114" s="1">
        <f t="shared" si="22"/>
        <v>-23.781222222222254</v>
      </c>
    </row>
    <row r="115" spans="1:29" x14ac:dyDescent="0.3">
      <c r="A115">
        <v>3</v>
      </c>
      <c r="B115" s="1">
        <f t="shared" ref="B115:AC115" si="23">B55-B4</f>
        <v>-3.5686430571150538</v>
      </c>
      <c r="C115" s="1">
        <f t="shared" si="23"/>
        <v>2.5503884821718223</v>
      </c>
      <c r="D115" s="1">
        <f t="shared" si="23"/>
        <v>-0.69780925967512886</v>
      </c>
      <c r="E115" s="1">
        <f t="shared" si="23"/>
        <v>52.531666666666865</v>
      </c>
      <c r="F115" s="1"/>
      <c r="G115" s="1"/>
      <c r="H115" s="1">
        <f t="shared" si="23"/>
        <v>-8.2288249529190693</v>
      </c>
      <c r="I115" s="1">
        <f t="shared" si="23"/>
        <v>2.5611597928436929</v>
      </c>
      <c r="J115" s="1">
        <f t="shared" si="23"/>
        <v>-1.0297655367231613</v>
      </c>
      <c r="K115" s="1">
        <f t="shared" si="23"/>
        <v>-0.20766666666666667</v>
      </c>
      <c r="L115" s="1"/>
      <c r="M115" s="1"/>
      <c r="N115" s="1">
        <f t="shared" si="23"/>
        <v>-4.9715471014492323</v>
      </c>
      <c r="O115" s="1">
        <f t="shared" si="23"/>
        <v>3.0193079710144772</v>
      </c>
      <c r="P115" s="1">
        <f t="shared" si="23"/>
        <v>-0.76978623188405493</v>
      </c>
      <c r="Q115" s="1">
        <f t="shared" si="23"/>
        <v>20.881333333333359</v>
      </c>
      <c r="R115" s="1"/>
      <c r="S115" s="1"/>
      <c r="T115" s="1">
        <f t="shared" si="23"/>
        <v>0.76194535519130113</v>
      </c>
      <c r="U115" s="1">
        <f t="shared" si="23"/>
        <v>2.4497896174863349</v>
      </c>
      <c r="V115" s="1">
        <f t="shared" si="23"/>
        <v>-0.2605437158470103</v>
      </c>
      <c r="W115" s="1">
        <f t="shared" si="23"/>
        <v>75.543555555555486</v>
      </c>
      <c r="X115" s="1"/>
      <c r="Y115" s="1"/>
      <c r="Z115" s="1">
        <f t="shared" si="23"/>
        <v>-10.093235507246391</v>
      </c>
      <c r="AA115" s="1">
        <f t="shared" si="23"/>
        <v>1.399644927536233</v>
      </c>
      <c r="AB115" s="1">
        <f t="shared" si="23"/>
        <v>-1.9308260869565217</v>
      </c>
      <c r="AC115" s="1">
        <f t="shared" si="23"/>
        <v>-29.679666666666634</v>
      </c>
    </row>
    <row r="116" spans="1:29" x14ac:dyDescent="0.3">
      <c r="A116">
        <v>4</v>
      </c>
      <c r="B116" s="1">
        <f t="shared" ref="B116:AC116" si="24">B56-B5</f>
        <v>-3.4110740374778743</v>
      </c>
      <c r="C116" s="1">
        <f t="shared" si="24"/>
        <v>2.5364760835391813</v>
      </c>
      <c r="D116" s="1">
        <f t="shared" si="24"/>
        <v>-0.69124127803978297</v>
      </c>
      <c r="E116" s="1">
        <f t="shared" si="24"/>
        <v>69.930000000000064</v>
      </c>
      <c r="F116" s="1"/>
      <c r="G116" s="1"/>
      <c r="H116" s="1">
        <f t="shared" si="24"/>
        <v>-7.7781774952919136</v>
      </c>
      <c r="I116" s="1">
        <f t="shared" si="24"/>
        <v>2.5031405838041429</v>
      </c>
      <c r="J116" s="1">
        <f t="shared" si="24"/>
        <v>-1.0751736346516054</v>
      </c>
      <c r="K116" s="1">
        <f t="shared" si="24"/>
        <v>-0.27766666666666656</v>
      </c>
      <c r="L116" s="1"/>
      <c r="M116" s="1"/>
      <c r="N116" s="1">
        <f t="shared" si="24"/>
        <v>-4.7745978260869606</v>
      </c>
      <c r="O116" s="1">
        <f t="shared" si="24"/>
        <v>3.0223297101449305</v>
      </c>
      <c r="P116" s="1">
        <f t="shared" si="24"/>
        <v>-0.71172826086955965</v>
      </c>
      <c r="Q116" s="1">
        <f t="shared" si="24"/>
        <v>23.428666666666643</v>
      </c>
      <c r="R116" s="1"/>
      <c r="S116" s="1"/>
      <c r="T116" s="1">
        <f t="shared" si="24"/>
        <v>0.74324043715839139</v>
      </c>
      <c r="U116" s="1">
        <f t="shared" si="24"/>
        <v>2.4472814207650231</v>
      </c>
      <c r="V116" s="1">
        <f t="shared" si="24"/>
        <v>-0.24973770491802583</v>
      </c>
      <c r="W116" s="1">
        <f t="shared" si="24"/>
        <v>86.936999999999841</v>
      </c>
      <c r="X116" s="1"/>
      <c r="Y116" s="1"/>
      <c r="Z116" s="1">
        <f t="shared" si="24"/>
        <v>-9.8956690821255791</v>
      </c>
      <c r="AA116" s="1">
        <f t="shared" si="24"/>
        <v>1.3746932367149718</v>
      </c>
      <c r="AB116" s="1">
        <f t="shared" si="24"/>
        <v>-1.9574432367149797</v>
      </c>
      <c r="AC116" s="1">
        <f t="shared" si="24"/>
        <v>-27.046555555555528</v>
      </c>
    </row>
    <row r="117" spans="1:29" x14ac:dyDescent="0.3">
      <c r="A117">
        <v>5</v>
      </c>
      <c r="B117" s="1">
        <f t="shared" ref="B117:AC117" si="25">B57-B6</f>
        <v>-3.561856563614981</v>
      </c>
      <c r="C117" s="1">
        <f t="shared" si="25"/>
        <v>2.5719390947426248</v>
      </c>
      <c r="D117" s="1">
        <f t="shared" si="25"/>
        <v>-0.62051859171095103</v>
      </c>
      <c r="E117" s="1">
        <f t="shared" si="25"/>
        <v>54.00100000000009</v>
      </c>
      <c r="F117" s="1"/>
      <c r="G117" s="1"/>
      <c r="H117" s="1">
        <f t="shared" si="25"/>
        <v>-8.034858662900092</v>
      </c>
      <c r="I117" s="1">
        <f t="shared" si="25"/>
        <v>2.5853710922787272</v>
      </c>
      <c r="J117" s="1">
        <f t="shared" si="25"/>
        <v>-0.98854679849340954</v>
      </c>
      <c r="K117" s="1">
        <f t="shared" si="25"/>
        <v>-0.1653333333333333</v>
      </c>
      <c r="L117" s="1"/>
      <c r="M117" s="1"/>
      <c r="N117" s="1">
        <f t="shared" si="25"/>
        <v>-5.1277355072463706</v>
      </c>
      <c r="O117" s="1">
        <f t="shared" si="25"/>
        <v>3.0477753623188448</v>
      </c>
      <c r="P117" s="1">
        <f t="shared" si="25"/>
        <v>-0.63692753623188381</v>
      </c>
      <c r="Q117" s="1">
        <f t="shared" si="25"/>
        <v>18.071333333333399</v>
      </c>
      <c r="R117" s="1"/>
      <c r="S117" s="1"/>
      <c r="T117" s="1">
        <f t="shared" si="25"/>
        <v>0.83330601092896472</v>
      </c>
      <c r="U117" s="1">
        <f t="shared" si="25"/>
        <v>2.4818770491803335</v>
      </c>
      <c r="V117" s="1">
        <f t="shared" si="25"/>
        <v>-0.18415300546448421</v>
      </c>
      <c r="W117" s="1">
        <f t="shared" si="25"/>
        <v>81.673444444444385</v>
      </c>
      <c r="X117" s="1"/>
      <c r="Y117" s="1"/>
      <c r="Z117" s="1">
        <f t="shared" si="25"/>
        <v>-10.223113526570017</v>
      </c>
      <c r="AA117" s="1">
        <f t="shared" si="25"/>
        <v>1.4061932367149765</v>
      </c>
      <c r="AB117" s="1">
        <f t="shared" si="25"/>
        <v>-1.8998297101449246</v>
      </c>
      <c r="AC117" s="1">
        <f t="shared" si="25"/>
        <v>-31.986666666666679</v>
      </c>
    </row>
    <row r="118" spans="1:29" x14ac:dyDescent="0.3">
      <c r="A118">
        <v>6</v>
      </c>
      <c r="B118" s="1">
        <f t="shared" ref="B118:AC118" si="26">B58-B7</f>
        <v>-3.3879748733687336</v>
      </c>
      <c r="C118" s="1">
        <f t="shared" si="26"/>
        <v>2.5572798737430489</v>
      </c>
      <c r="D118" s="1">
        <f t="shared" si="26"/>
        <v>-0.60949929635451028</v>
      </c>
      <c r="E118" s="1">
        <f t="shared" si="26"/>
        <v>70.571333333333314</v>
      </c>
      <c r="F118" s="1"/>
      <c r="G118" s="1"/>
      <c r="H118" s="1">
        <f t="shared" si="26"/>
        <v>-7.5702207156307963</v>
      </c>
      <c r="I118" s="1">
        <f t="shared" si="26"/>
        <v>2.5285021657250439</v>
      </c>
      <c r="J118" s="1">
        <f t="shared" si="26"/>
        <v>-1.030362994350277</v>
      </c>
      <c r="K118" s="1">
        <f t="shared" si="26"/>
        <v>-0.21466666666666667</v>
      </c>
      <c r="L118" s="1"/>
      <c r="M118" s="1"/>
      <c r="N118" s="1">
        <f t="shared" si="26"/>
        <v>-4.9268224637681328</v>
      </c>
      <c r="O118" s="1">
        <f t="shared" si="26"/>
        <v>3.0487318840579576</v>
      </c>
      <c r="P118" s="1">
        <f t="shared" si="26"/>
        <v>-0.57688768115941969</v>
      </c>
      <c r="Q118" s="1">
        <f t="shared" si="26"/>
        <v>20.345666666666688</v>
      </c>
      <c r="R118" s="1"/>
      <c r="S118" s="1"/>
      <c r="T118" s="1">
        <f t="shared" si="26"/>
        <v>0.84975956284151266</v>
      </c>
      <c r="U118" s="1">
        <f t="shared" si="26"/>
        <v>2.4776010928961725</v>
      </c>
      <c r="V118" s="1">
        <f t="shared" si="26"/>
        <v>-0.16992076502731734</v>
      </c>
      <c r="W118" s="1">
        <f t="shared" si="26"/>
        <v>92.558111111110918</v>
      </c>
      <c r="X118" s="1"/>
      <c r="Y118" s="1"/>
      <c r="Z118" s="1">
        <f t="shared" si="26"/>
        <v>-10.026148550724656</v>
      </c>
      <c r="AA118" s="1">
        <f t="shared" si="26"/>
        <v>1.380974637681156</v>
      </c>
      <c r="AB118" s="1">
        <f t="shared" si="26"/>
        <v>-1.9219987922705393</v>
      </c>
      <c r="AC118" s="1">
        <f t="shared" si="26"/>
        <v>-29.517555555555589</v>
      </c>
    </row>
    <row r="119" spans="1:29" x14ac:dyDescent="0.3">
      <c r="A119">
        <v>7</v>
      </c>
      <c r="B119" s="1">
        <f t="shared" ref="B119:AC119" si="27">B59-B8</f>
        <v>-3.6797205429548683</v>
      </c>
      <c r="C119" s="1">
        <f t="shared" si="27"/>
        <v>2.5912053472066354</v>
      </c>
      <c r="D119" s="1">
        <f t="shared" si="27"/>
        <v>-0.54262059535393448</v>
      </c>
      <c r="E119" s="1">
        <f t="shared" si="27"/>
        <v>50.467333333333727</v>
      </c>
      <c r="F119" s="1"/>
      <c r="G119" s="1"/>
      <c r="H119" s="1">
        <f t="shared" si="27"/>
        <v>-7.9732021657250129</v>
      </c>
      <c r="I119" s="1">
        <f t="shared" si="27"/>
        <v>2.6104854048964228</v>
      </c>
      <c r="J119" s="1">
        <f t="shared" si="27"/>
        <v>-0.94139086629001056</v>
      </c>
      <c r="K119" s="1">
        <f t="shared" si="27"/>
        <v>-0.13399999999999998</v>
      </c>
      <c r="L119" s="1"/>
      <c r="M119" s="1"/>
      <c r="N119" s="1">
        <f t="shared" si="27"/>
        <v>-5.5713043478260147</v>
      </c>
      <c r="O119" s="1">
        <f t="shared" si="27"/>
        <v>3.061663043478255</v>
      </c>
      <c r="P119" s="1">
        <f t="shared" si="27"/>
        <v>-0.51002898550724751</v>
      </c>
      <c r="Q119" s="1">
        <f t="shared" si="27"/>
        <v>13.99133333333333</v>
      </c>
      <c r="R119" s="1"/>
      <c r="S119" s="1"/>
      <c r="T119" s="1">
        <f t="shared" si="27"/>
        <v>0.84595355191260069</v>
      </c>
      <c r="U119" s="1">
        <f t="shared" si="27"/>
        <v>2.5140628415300448</v>
      </c>
      <c r="V119" s="1">
        <f t="shared" si="27"/>
        <v>-0.11282240437157753</v>
      </c>
      <c r="W119" s="1">
        <f t="shared" si="27"/>
        <v>83.345777777777869</v>
      </c>
      <c r="X119" s="1"/>
      <c r="Y119" s="1"/>
      <c r="Z119" s="1">
        <f t="shared" si="27"/>
        <v>-10.372868357487931</v>
      </c>
      <c r="AA119" s="1">
        <f t="shared" si="27"/>
        <v>1.4168937198067617</v>
      </c>
      <c r="AB119" s="1">
        <f t="shared" si="27"/>
        <v>-1.8694963768115969</v>
      </c>
      <c r="AC119" s="1">
        <f t="shared" si="27"/>
        <v>-33.149333333333374</v>
      </c>
    </row>
    <row r="120" spans="1:29" x14ac:dyDescent="0.3">
      <c r="A120">
        <v>8</v>
      </c>
      <c r="B120" s="1">
        <f t="shared" ref="B120:AC120" si="28">B60-B9</f>
        <v>-3.4946700701151485</v>
      </c>
      <c r="C120" s="1">
        <f t="shared" si="28"/>
        <v>2.5773504279262376</v>
      </c>
      <c r="D120" s="1">
        <f t="shared" si="28"/>
        <v>-0.5279161514085331</v>
      </c>
      <c r="E120" s="1">
        <f t="shared" si="28"/>
        <v>65.263333333333321</v>
      </c>
      <c r="F120" s="1"/>
      <c r="G120" s="1"/>
      <c r="H120" s="1">
        <f t="shared" si="28"/>
        <v>-7.5245636534839662</v>
      </c>
      <c r="I120" s="1">
        <f t="shared" si="28"/>
        <v>2.5568342749529265</v>
      </c>
      <c r="J120" s="1">
        <f t="shared" si="28"/>
        <v>-0.97844990583804403</v>
      </c>
      <c r="K120" s="1">
        <f t="shared" si="28"/>
        <v>-0.17566666666666664</v>
      </c>
      <c r="L120" s="1"/>
      <c r="M120" s="1"/>
      <c r="N120" s="1">
        <f t="shared" si="28"/>
        <v>-5.3726557971015154</v>
      </c>
      <c r="O120" s="1">
        <f t="shared" si="28"/>
        <v>3.0614601449275227</v>
      </c>
      <c r="P120" s="1">
        <f t="shared" si="28"/>
        <v>-0.45105072463768181</v>
      </c>
      <c r="Q120" s="1">
        <f t="shared" si="28"/>
        <v>15.828999999999994</v>
      </c>
      <c r="R120" s="1"/>
      <c r="S120" s="1"/>
      <c r="T120" s="1">
        <f t="shared" si="28"/>
        <v>0.89749180327874001</v>
      </c>
      <c r="U120" s="1">
        <f t="shared" si="28"/>
        <v>2.5096857923497211</v>
      </c>
      <c r="V120" s="1">
        <f t="shared" si="28"/>
        <v>-9.7994535519127624E-2</v>
      </c>
      <c r="W120" s="1">
        <f t="shared" si="28"/>
        <v>93.280444444444413</v>
      </c>
      <c r="X120" s="1"/>
      <c r="Y120" s="1"/>
      <c r="Z120" s="1">
        <f t="shared" si="28"/>
        <v>-10.156905797101501</v>
      </c>
      <c r="AA120" s="1">
        <f t="shared" si="28"/>
        <v>1.3920881642512128</v>
      </c>
      <c r="AB120" s="1">
        <f t="shared" si="28"/>
        <v>-1.8865531400966162</v>
      </c>
      <c r="AC120" s="1">
        <f t="shared" si="28"/>
        <v>-30.848777777777713</v>
      </c>
    </row>
    <row r="121" spans="1:29" x14ac:dyDescent="0.3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</row>
    <row r="122" spans="1:29" x14ac:dyDescent="0.3">
      <c r="A122" t="s">
        <v>57</v>
      </c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</row>
    <row r="123" spans="1:29" x14ac:dyDescent="0.3">
      <c r="A123">
        <v>1</v>
      </c>
      <c r="B123" s="1">
        <f>B62-B2</f>
        <v>-4.5045385133616378</v>
      </c>
      <c r="C123" s="1">
        <f t="shared" ref="C123:AC123" si="29">C62-C2</f>
        <v>2.9797471043241721</v>
      </c>
      <c r="D123" s="1">
        <f t="shared" si="29"/>
        <v>0.4524051226389183</v>
      </c>
      <c r="E123" s="1">
        <f t="shared" si="29"/>
        <v>81.429333333333147</v>
      </c>
      <c r="F123" s="1"/>
      <c r="G123" s="1"/>
      <c r="H123" s="1">
        <f t="shared" si="29"/>
        <v>-9.0136124293784974</v>
      </c>
      <c r="I123" s="1">
        <f t="shared" si="29"/>
        <v>3.0066761770244774</v>
      </c>
      <c r="J123" s="1">
        <f t="shared" si="29"/>
        <v>0.28462354048964755</v>
      </c>
      <c r="K123" s="1">
        <f t="shared" si="29"/>
        <v>-0.29166666666666663</v>
      </c>
      <c r="L123" s="1"/>
      <c r="M123" s="1"/>
      <c r="N123" s="1">
        <f t="shared" si="29"/>
        <v>-5.9226702898550343</v>
      </c>
      <c r="O123" s="1">
        <f t="shared" si="29"/>
        <v>3.4097391304347937</v>
      </c>
      <c r="P123" s="1">
        <f t="shared" si="29"/>
        <v>0.53018478260869273</v>
      </c>
      <c r="Q123" s="1">
        <f t="shared" si="29"/>
        <v>35.983666666666693</v>
      </c>
      <c r="R123" s="1"/>
      <c r="S123" s="1"/>
      <c r="T123" s="1">
        <f t="shared" si="29"/>
        <v>0.43286612021859128</v>
      </c>
      <c r="U123" s="1">
        <f t="shared" si="29"/>
        <v>2.8231557377049157</v>
      </c>
      <c r="V123" s="1">
        <f t="shared" si="29"/>
        <v>0.46781420765026382</v>
      </c>
      <c r="W123" s="1">
        <f t="shared" si="29"/>
        <v>7.8326666666666256</v>
      </c>
      <c r="X123" s="1"/>
      <c r="Y123" s="1"/>
      <c r="Z123" s="1">
        <f t="shared" si="29"/>
        <v>-11.323812801932377</v>
      </c>
      <c r="AA123" s="1">
        <f t="shared" si="29"/>
        <v>1.5077463768115926</v>
      </c>
      <c r="AB123" s="1">
        <f t="shared" si="29"/>
        <v>-0.46299637681158856</v>
      </c>
      <c r="AC123" s="1">
        <f t="shared" si="29"/>
        <v>3.3806666666666843</v>
      </c>
    </row>
    <row r="124" spans="1:29" x14ac:dyDescent="0.3">
      <c r="A124">
        <v>2</v>
      </c>
      <c r="B124" s="1">
        <f t="shared" ref="B124:AC124" si="30">B63-B3</f>
        <v>-4.4286789180826247</v>
      </c>
      <c r="C124" s="1">
        <f t="shared" si="30"/>
        <v>2.9610689048581449</v>
      </c>
      <c r="D124" s="1">
        <f t="shared" si="30"/>
        <v>0.45069104723406994</v>
      </c>
      <c r="E124" s="1">
        <f t="shared" si="30"/>
        <v>98.469333333333566</v>
      </c>
      <c r="F124" s="1"/>
      <c r="G124" s="1"/>
      <c r="H124" s="1">
        <f t="shared" si="30"/>
        <v>-8.6538177966102126</v>
      </c>
      <c r="I124" s="1">
        <f t="shared" si="30"/>
        <v>2.9475926553672309</v>
      </c>
      <c r="J124" s="1">
        <f t="shared" si="30"/>
        <v>0.27395630885122202</v>
      </c>
      <c r="K124" s="1">
        <f t="shared" si="30"/>
        <v>-0.3796666666666666</v>
      </c>
      <c r="L124" s="1"/>
      <c r="M124" s="1"/>
      <c r="N124" s="1">
        <f t="shared" si="30"/>
        <v>-6.0019420289855248</v>
      </c>
      <c r="O124" s="1">
        <f t="shared" si="30"/>
        <v>3.4045217391304448</v>
      </c>
      <c r="P124" s="1">
        <f t="shared" si="30"/>
        <v>0.57034782608695522</v>
      </c>
      <c r="Q124" s="1">
        <f t="shared" si="30"/>
        <v>35.444333333333333</v>
      </c>
      <c r="R124" s="1"/>
      <c r="S124" s="1"/>
      <c r="T124" s="1">
        <f t="shared" si="30"/>
        <v>0.32050273224041348</v>
      </c>
      <c r="U124" s="1">
        <f t="shared" si="30"/>
        <v>2.8121092896174886</v>
      </c>
      <c r="V124" s="1">
        <f t="shared" si="30"/>
        <v>0.45115846994535502</v>
      </c>
      <c r="W124" s="1">
        <f t="shared" si="30"/>
        <v>14.212888888888926</v>
      </c>
      <c r="X124" s="1"/>
      <c r="Y124" s="1"/>
      <c r="Z124" s="1">
        <f t="shared" si="30"/>
        <v>-11.261458937198057</v>
      </c>
      <c r="AA124" s="1">
        <f t="shared" si="30"/>
        <v>1.4844070048309206</v>
      </c>
      <c r="AB124" s="1">
        <f t="shared" si="30"/>
        <v>-0.44358937198068205</v>
      </c>
      <c r="AC124" s="1">
        <f t="shared" si="30"/>
        <v>8.8165555555555102</v>
      </c>
    </row>
    <row r="125" spans="1:29" x14ac:dyDescent="0.3">
      <c r="A125">
        <v>3</v>
      </c>
      <c r="B125" s="1">
        <f t="shared" ref="B125:AC125" si="31">B64-B4</f>
        <v>-4.4694311475409734</v>
      </c>
      <c r="C125" s="1">
        <f t="shared" si="31"/>
        <v>2.9905456271676947</v>
      </c>
      <c r="D125" s="1">
        <f t="shared" si="31"/>
        <v>0.46980253761508806</v>
      </c>
      <c r="E125" s="1">
        <f t="shared" si="31"/>
        <v>83.722666666666669</v>
      </c>
      <c r="F125" s="1"/>
      <c r="G125" s="1"/>
      <c r="H125" s="1">
        <f t="shared" si="31"/>
        <v>-8.7961803201507109</v>
      </c>
      <c r="I125" s="1">
        <f t="shared" si="31"/>
        <v>3.010345386064035</v>
      </c>
      <c r="J125" s="1">
        <f t="shared" si="31"/>
        <v>0.32529067796609823</v>
      </c>
      <c r="K125" s="1">
        <f t="shared" si="31"/>
        <v>-0.21066666666666667</v>
      </c>
      <c r="L125" s="1"/>
      <c r="M125" s="1"/>
      <c r="N125" s="1">
        <f t="shared" si="31"/>
        <v>-6.0569818840579615</v>
      </c>
      <c r="O125" s="1">
        <f t="shared" si="31"/>
        <v>3.4419601449275206</v>
      </c>
      <c r="P125" s="1">
        <f t="shared" si="31"/>
        <v>0.55797463768115918</v>
      </c>
      <c r="Q125" s="1">
        <f t="shared" si="31"/>
        <v>33.197333333333361</v>
      </c>
      <c r="R125" s="1"/>
      <c r="S125" s="1"/>
      <c r="T125" s="1">
        <f t="shared" si="31"/>
        <v>0.51083879781427299</v>
      </c>
      <c r="U125" s="1">
        <f t="shared" si="31"/>
        <v>2.8334453551912695</v>
      </c>
      <c r="V125" s="1">
        <f t="shared" si="31"/>
        <v>0.47659562841529279</v>
      </c>
      <c r="W125" s="1">
        <f t="shared" si="31"/>
        <v>10.816888888888741</v>
      </c>
      <c r="X125" s="1"/>
      <c r="Y125" s="1"/>
      <c r="Z125" s="1">
        <f t="shared" si="31"/>
        <v>-11.347535024154695</v>
      </c>
      <c r="AA125" s="1">
        <f t="shared" si="31"/>
        <v>1.5035458937198065</v>
      </c>
      <c r="AB125" s="1">
        <f t="shared" si="31"/>
        <v>-0.47472705314009289</v>
      </c>
      <c r="AC125" s="1">
        <f t="shared" si="31"/>
        <v>-0.12411111111109108</v>
      </c>
    </row>
    <row r="126" spans="1:29" x14ac:dyDescent="0.3">
      <c r="A126">
        <v>4</v>
      </c>
      <c r="B126" s="1">
        <f t="shared" ref="B126:AC126" si="32">B65-B5</f>
        <v>-4.3724697856626165</v>
      </c>
      <c r="C126" s="1">
        <f t="shared" si="32"/>
        <v>2.9652034209147295</v>
      </c>
      <c r="D126" s="1">
        <f t="shared" si="32"/>
        <v>0.46513638495895293</v>
      </c>
      <c r="E126" s="1">
        <f t="shared" si="32"/>
        <v>101.2439999999998</v>
      </c>
      <c r="F126" s="1"/>
      <c r="G126" s="1"/>
      <c r="H126" s="1">
        <f t="shared" si="32"/>
        <v>-8.430449529190156</v>
      </c>
      <c r="I126" s="1">
        <f t="shared" si="32"/>
        <v>2.9448643126176925</v>
      </c>
      <c r="J126" s="1">
        <f t="shared" si="32"/>
        <v>0.30459472693032197</v>
      </c>
      <c r="K126" s="1">
        <f t="shared" si="32"/>
        <v>-0.27566666666666656</v>
      </c>
      <c r="L126" s="1"/>
      <c r="M126" s="1"/>
      <c r="N126" s="1">
        <f t="shared" si="32"/>
        <v>-6.113717391304192</v>
      </c>
      <c r="O126" s="1">
        <f t="shared" si="32"/>
        <v>3.4266231884058058</v>
      </c>
      <c r="P126" s="1">
        <f t="shared" si="32"/>
        <v>0.59871739130435131</v>
      </c>
      <c r="Q126" s="1">
        <f t="shared" si="32"/>
        <v>33.059666666666644</v>
      </c>
      <c r="R126" s="1"/>
      <c r="S126" s="1"/>
      <c r="T126" s="1">
        <f t="shared" si="32"/>
        <v>0.43274863387975415</v>
      </c>
      <c r="U126" s="1">
        <f t="shared" si="32"/>
        <v>2.8174125683060147</v>
      </c>
      <c r="V126" s="1">
        <f t="shared" si="32"/>
        <v>0.46010655737705974</v>
      </c>
      <c r="W126" s="1">
        <f t="shared" si="32"/>
        <v>17.855888888888785</v>
      </c>
      <c r="X126" s="1"/>
      <c r="Y126" s="1"/>
      <c r="Z126" s="1">
        <f t="shared" si="32"/>
        <v>-11.287432367149762</v>
      </c>
      <c r="AA126" s="1">
        <f t="shared" si="32"/>
        <v>1.4769154589372029</v>
      </c>
      <c r="AB126" s="1">
        <f t="shared" si="32"/>
        <v>-0.46075241545893775</v>
      </c>
      <c r="AC126" s="1">
        <f t="shared" si="32"/>
        <v>4.5912222222221999</v>
      </c>
    </row>
    <row r="127" spans="1:29" x14ac:dyDescent="0.3">
      <c r="A127">
        <v>5</v>
      </c>
      <c r="B127" s="1">
        <f t="shared" ref="B127:AC127" si="33">B66-B6</f>
        <v>-4.4384451406042729</v>
      </c>
      <c r="C127" s="1">
        <f t="shared" si="33"/>
        <v>3.0171946303365971</v>
      </c>
      <c r="D127" s="1">
        <f t="shared" si="33"/>
        <v>0.48499356488759204</v>
      </c>
      <c r="E127" s="1">
        <f t="shared" si="33"/>
        <v>83.014000000000124</v>
      </c>
      <c r="F127" s="1"/>
      <c r="G127" s="1"/>
      <c r="H127" s="1">
        <f t="shared" si="33"/>
        <v>-8.5706374764594102</v>
      </c>
      <c r="I127" s="1">
        <f t="shared" si="33"/>
        <v>3.0190866290018832</v>
      </c>
      <c r="J127" s="1">
        <f t="shared" si="33"/>
        <v>0.3663385122410574</v>
      </c>
      <c r="K127" s="1">
        <f t="shared" si="33"/>
        <v>-0.14933333333333332</v>
      </c>
      <c r="L127" s="1"/>
      <c r="M127" s="1"/>
      <c r="N127" s="1">
        <f t="shared" si="33"/>
        <v>-6.273876811594107</v>
      </c>
      <c r="O127" s="1">
        <f t="shared" si="33"/>
        <v>3.4850797101449373</v>
      </c>
      <c r="P127" s="1">
        <f t="shared" si="33"/>
        <v>0.57382246376811707</v>
      </c>
      <c r="Q127" s="1">
        <f t="shared" si="33"/>
        <v>28.904333333333341</v>
      </c>
      <c r="R127" s="1"/>
      <c r="S127" s="1"/>
      <c r="T127" s="1">
        <f t="shared" si="33"/>
        <v>0.60372404371574362</v>
      </c>
      <c r="U127" s="1">
        <f t="shared" si="33"/>
        <v>2.8690655737704915</v>
      </c>
      <c r="V127" s="1">
        <f t="shared" si="33"/>
        <v>0.49012568306011062</v>
      </c>
      <c r="W127" s="1">
        <f t="shared" si="33"/>
        <v>13.986777777777775</v>
      </c>
      <c r="X127" s="1"/>
      <c r="Y127" s="1"/>
      <c r="Z127" s="1">
        <f t="shared" si="33"/>
        <v>-11.353028985507251</v>
      </c>
      <c r="AA127" s="1">
        <f t="shared" si="33"/>
        <v>1.507413043478266</v>
      </c>
      <c r="AB127" s="1">
        <f t="shared" si="33"/>
        <v>-0.4908562801932348</v>
      </c>
      <c r="AC127" s="1">
        <f t="shared" si="33"/>
        <v>-4.9111111111112109</v>
      </c>
    </row>
    <row r="128" spans="1:29" x14ac:dyDescent="0.3">
      <c r="A128">
        <v>6</v>
      </c>
      <c r="B128" s="1">
        <f t="shared" ref="B128:AC128" si="34">B67-B7</f>
        <v>-4.3224446839832353</v>
      </c>
      <c r="C128" s="1">
        <f t="shared" si="34"/>
        <v>2.9891540933702672</v>
      </c>
      <c r="D128" s="1">
        <f t="shared" si="34"/>
        <v>0.47814404521297504</v>
      </c>
      <c r="E128" s="1">
        <f t="shared" si="34"/>
        <v>100.464333333333</v>
      </c>
      <c r="F128" s="1"/>
      <c r="G128" s="1"/>
      <c r="H128" s="1">
        <f t="shared" si="34"/>
        <v>-8.2045517890771293</v>
      </c>
      <c r="I128" s="1">
        <f t="shared" si="34"/>
        <v>2.9521756120527236</v>
      </c>
      <c r="J128" s="1">
        <f t="shared" si="34"/>
        <v>0.33830028248588206</v>
      </c>
      <c r="K128" s="1">
        <f t="shared" si="34"/>
        <v>-0.19766666666666666</v>
      </c>
      <c r="L128" s="1"/>
      <c r="M128" s="1"/>
      <c r="N128" s="1">
        <f t="shared" si="34"/>
        <v>-6.3144528985507691</v>
      </c>
      <c r="O128" s="1">
        <f t="shared" si="34"/>
        <v>3.4631340579710113</v>
      </c>
      <c r="P128" s="1">
        <f t="shared" si="34"/>
        <v>0.61243840579709641</v>
      </c>
      <c r="Q128" s="1">
        <f t="shared" si="34"/>
        <v>29.243666666666712</v>
      </c>
      <c r="R128" s="1"/>
      <c r="S128" s="1"/>
      <c r="T128" s="1">
        <f t="shared" si="34"/>
        <v>0.56598907103821716</v>
      </c>
      <c r="U128" s="1">
        <f t="shared" si="34"/>
        <v>2.8513715846994572</v>
      </c>
      <c r="V128" s="1">
        <f t="shared" si="34"/>
        <v>0.47389890710383042</v>
      </c>
      <c r="W128" s="1">
        <f t="shared" si="34"/>
        <v>21.520333333333326</v>
      </c>
      <c r="X128" s="1"/>
      <c r="Y128" s="1"/>
      <c r="Z128" s="1">
        <f t="shared" si="34"/>
        <v>-11.284832125603884</v>
      </c>
      <c r="AA128" s="1">
        <f t="shared" si="34"/>
        <v>1.4797910628019295</v>
      </c>
      <c r="AB128" s="1">
        <f t="shared" si="34"/>
        <v>-0.4832306763285068</v>
      </c>
      <c r="AC128" s="1">
        <f t="shared" si="34"/>
        <v>-1.1586666666666758</v>
      </c>
    </row>
    <row r="129" spans="1:29" x14ac:dyDescent="0.3">
      <c r="A129">
        <v>7</v>
      </c>
      <c r="B129" s="1">
        <f t="shared" ref="B129:AC129" si="35">B68-B8</f>
        <v>-4.5253661301993588</v>
      </c>
      <c r="C129" s="1">
        <f t="shared" si="35"/>
        <v>3.0478984005788838</v>
      </c>
      <c r="D129" s="1">
        <f t="shared" si="35"/>
        <v>0.49492338248871448</v>
      </c>
      <c r="E129" s="1">
        <f t="shared" si="35"/>
        <v>76.668333333333749</v>
      </c>
      <c r="F129" s="1"/>
      <c r="G129" s="1"/>
      <c r="H129" s="1">
        <f t="shared" si="35"/>
        <v>-8.4893275894538931</v>
      </c>
      <c r="I129" s="1">
        <f t="shared" si="35"/>
        <v>3.0287834274952914</v>
      </c>
      <c r="J129" s="1">
        <f t="shared" si="35"/>
        <v>0.39750489642185372</v>
      </c>
      <c r="K129" s="1">
        <f t="shared" si="35"/>
        <v>-0.10899999999999999</v>
      </c>
      <c r="L129" s="1"/>
      <c r="M129" s="1"/>
      <c r="N129" s="1">
        <f t="shared" si="35"/>
        <v>-6.7948804347825558</v>
      </c>
      <c r="O129" s="1">
        <f t="shared" si="35"/>
        <v>3.5294673913043511</v>
      </c>
      <c r="P129" s="1">
        <f t="shared" si="35"/>
        <v>0.57890579710144863</v>
      </c>
      <c r="Q129" s="1">
        <f t="shared" si="35"/>
        <v>23.40033333333335</v>
      </c>
      <c r="R129" s="1"/>
      <c r="S129" s="1"/>
      <c r="T129" s="1">
        <f t="shared" si="35"/>
        <v>0.67658469945348543</v>
      </c>
      <c r="U129" s="1">
        <f t="shared" si="35"/>
        <v>2.911210382513655</v>
      </c>
      <c r="V129" s="1">
        <f t="shared" si="35"/>
        <v>0.50356284153005859</v>
      </c>
      <c r="W129" s="1">
        <f t="shared" si="35"/>
        <v>15.672444444444466</v>
      </c>
      <c r="X129" s="1"/>
      <c r="Y129" s="1"/>
      <c r="Z129" s="1">
        <f t="shared" si="35"/>
        <v>-11.401008454106261</v>
      </c>
      <c r="AA129" s="1">
        <f t="shared" si="35"/>
        <v>1.5119541062801858</v>
      </c>
      <c r="AB129" s="1">
        <f t="shared" si="35"/>
        <v>-0.51007608695651996</v>
      </c>
      <c r="AC129" s="1">
        <f t="shared" si="35"/>
        <v>-9.1748888888888587</v>
      </c>
    </row>
    <row r="130" spans="1:29" x14ac:dyDescent="0.3">
      <c r="A130">
        <v>8</v>
      </c>
      <c r="B130" s="1">
        <f t="shared" ref="B130:AC130" si="36">B69-B9</f>
        <v>-4.3988474561469957</v>
      </c>
      <c r="C130" s="1">
        <f t="shared" si="36"/>
        <v>3.0199315717244239</v>
      </c>
      <c r="D130" s="1">
        <f t="shared" si="36"/>
        <v>0.48760368540559895</v>
      </c>
      <c r="E130" s="1">
        <f t="shared" si="36"/>
        <v>93.241333333333387</v>
      </c>
      <c r="F130" s="1"/>
      <c r="G130" s="1"/>
      <c r="H130" s="1">
        <f t="shared" si="36"/>
        <v>-8.1340605461393807</v>
      </c>
      <c r="I130" s="1">
        <f t="shared" si="36"/>
        <v>2.9640667608286222</v>
      </c>
      <c r="J130" s="1">
        <f t="shared" si="36"/>
        <v>0.36516308851223656</v>
      </c>
      <c r="K130" s="1">
        <f t="shared" si="36"/>
        <v>-0.14066666666666666</v>
      </c>
      <c r="L130" s="1"/>
      <c r="M130" s="1"/>
      <c r="N130" s="1">
        <f t="shared" si="36"/>
        <v>-6.8382536231884501</v>
      </c>
      <c r="O130" s="1">
        <f t="shared" si="36"/>
        <v>3.5029492753623188</v>
      </c>
      <c r="P130" s="1">
        <f t="shared" si="36"/>
        <v>0.61393840579710002</v>
      </c>
      <c r="Q130" s="1">
        <f t="shared" si="36"/>
        <v>24.133000000000038</v>
      </c>
      <c r="R130" s="1"/>
      <c r="S130" s="1"/>
      <c r="T130" s="1">
        <f t="shared" si="36"/>
        <v>0.67612295081968909</v>
      </c>
      <c r="U130" s="1">
        <f t="shared" si="36"/>
        <v>2.8950546448087344</v>
      </c>
      <c r="V130" s="1">
        <f t="shared" si="36"/>
        <v>0.48885792349726032</v>
      </c>
      <c r="W130" s="1">
        <f t="shared" si="36"/>
        <v>23.424888888888916</v>
      </c>
      <c r="X130" s="1"/>
      <c r="Y130" s="1"/>
      <c r="Z130" s="1">
        <f t="shared" si="36"/>
        <v>-11.303705314009704</v>
      </c>
      <c r="AA130" s="1">
        <f t="shared" si="36"/>
        <v>1.4846002415458948</v>
      </c>
      <c r="AB130" s="1">
        <f t="shared" si="36"/>
        <v>-0.50935507246376233</v>
      </c>
      <c r="AC130" s="1">
        <f t="shared" si="36"/>
        <v>-6.4009999999999252</v>
      </c>
    </row>
    <row r="131" spans="1:29" x14ac:dyDescent="0.3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1970B-5DE6-4F35-A7B9-BA530784DD29}">
  <sheetPr codeName="Sheet79"/>
  <dimension ref="A1:AC9"/>
  <sheetViews>
    <sheetView topLeftCell="R1" workbookViewId="0">
      <selection sqref="A1:G1"/>
    </sheetView>
  </sheetViews>
  <sheetFormatPr defaultRowHeight="14.4" x14ac:dyDescent="0.3"/>
  <cols>
    <col min="1" max="1" width="20" bestFit="1" customWidth="1"/>
  </cols>
  <sheetData>
    <row r="1" spans="1:29" x14ac:dyDescent="0.3">
      <c r="A1" t="s">
        <v>4</v>
      </c>
      <c r="B1" t="s">
        <v>0</v>
      </c>
      <c r="C1" t="s">
        <v>1</v>
      </c>
      <c r="D1" t="s">
        <v>2</v>
      </c>
      <c r="E1" t="s">
        <v>3</v>
      </c>
      <c r="G1" t="s">
        <v>6</v>
      </c>
      <c r="H1" t="s">
        <v>0</v>
      </c>
      <c r="I1" t="s">
        <v>1</v>
      </c>
      <c r="J1" t="s">
        <v>2</v>
      </c>
      <c r="K1" t="s">
        <v>3</v>
      </c>
      <c r="M1" t="s">
        <v>7</v>
      </c>
      <c r="N1" t="s">
        <v>0</v>
      </c>
      <c r="O1" t="s">
        <v>1</v>
      </c>
      <c r="P1" t="s">
        <v>2</v>
      </c>
      <c r="Q1" t="s">
        <v>3</v>
      </c>
      <c r="S1" t="s">
        <v>5</v>
      </c>
      <c r="T1" t="s">
        <v>0</v>
      </c>
      <c r="U1" t="s">
        <v>1</v>
      </c>
      <c r="V1" t="s">
        <v>2</v>
      </c>
      <c r="W1" t="s">
        <v>3</v>
      </c>
      <c r="Y1" t="s">
        <v>8</v>
      </c>
      <c r="Z1" t="s">
        <v>0</v>
      </c>
      <c r="AA1" t="s">
        <v>1</v>
      </c>
      <c r="AB1" t="s">
        <v>2</v>
      </c>
      <c r="AC1" t="s">
        <v>3</v>
      </c>
    </row>
    <row r="2" spans="1:29" x14ac:dyDescent="0.3">
      <c r="A2" t="s">
        <v>44</v>
      </c>
      <c r="B2" s="1">
        <v>252.8629061756119</v>
      </c>
      <c r="C2" s="1">
        <v>30.590014180203116</v>
      </c>
      <c r="D2" s="1">
        <v>21.360281725179032</v>
      </c>
      <c r="E2" s="1">
        <v>784.51766666666663</v>
      </c>
      <c r="F2" s="1"/>
      <c r="G2" s="1"/>
      <c r="H2" s="1">
        <v>263.64470310734464</v>
      </c>
      <c r="I2" s="1">
        <v>29.937204613935972</v>
      </c>
      <c r="J2" s="1">
        <v>19.189743408662899</v>
      </c>
      <c r="K2" s="1">
        <v>0.34466666666666662</v>
      </c>
      <c r="L2" s="1"/>
      <c r="M2" s="1"/>
      <c r="N2" s="1">
        <v>291.05278985507243</v>
      </c>
      <c r="O2" s="1">
        <v>34.311706521739126</v>
      </c>
      <c r="P2" s="1">
        <v>23.232347826086958</v>
      </c>
      <c r="Q2" s="1">
        <v>129.23633333333333</v>
      </c>
      <c r="R2" s="1"/>
      <c r="S2" s="1"/>
      <c r="T2" s="1">
        <v>237.434912568306</v>
      </c>
      <c r="U2" s="1">
        <v>29.619508196721313</v>
      </c>
      <c r="V2" s="1">
        <v>21.894259562841533</v>
      </c>
      <c r="W2" s="1">
        <v>396.65066666666667</v>
      </c>
      <c r="X2" s="1"/>
      <c r="Y2" s="1"/>
      <c r="Z2" s="1">
        <v>228.1755036231884</v>
      </c>
      <c r="AA2" s="1">
        <v>28.576420289855072</v>
      </c>
      <c r="AB2" s="1">
        <v>20.179155797101448</v>
      </c>
      <c r="AC2" s="1">
        <v>258.286</v>
      </c>
    </row>
    <row r="3" spans="1:29" x14ac:dyDescent="0.3">
      <c r="A3" t="s">
        <v>45</v>
      </c>
      <c r="B3" s="1">
        <v>253.41933573371259</v>
      </c>
      <c r="C3" s="1">
        <v>30.399861359383188</v>
      </c>
      <c r="D3" s="1">
        <v>21.112034284003297</v>
      </c>
      <c r="E3" s="1">
        <v>794.29866666666646</v>
      </c>
      <c r="F3" s="1"/>
      <c r="G3" s="1"/>
      <c r="H3" s="1">
        <v>264.69934576271191</v>
      </c>
      <c r="I3" s="1">
        <v>29.504876836158189</v>
      </c>
      <c r="J3" s="1">
        <v>18.775613747645949</v>
      </c>
      <c r="K3" s="1">
        <v>0.4416666666666666</v>
      </c>
      <c r="L3" s="1"/>
      <c r="M3" s="1"/>
      <c r="N3" s="1">
        <v>293.01468115942032</v>
      </c>
      <c r="O3" s="1">
        <v>34.067554347826082</v>
      </c>
      <c r="P3" s="1">
        <v>23.001489130434784</v>
      </c>
      <c r="Q3" s="1">
        <v>124.03866666666667</v>
      </c>
      <c r="R3" s="1"/>
      <c r="S3" s="1"/>
      <c r="T3" s="1">
        <v>237.19641530054645</v>
      </c>
      <c r="U3" s="1">
        <v>29.694284153005462</v>
      </c>
      <c r="V3" s="1">
        <v>21.747833333333332</v>
      </c>
      <c r="W3" s="1">
        <v>403.40933333333334</v>
      </c>
      <c r="X3" s="1"/>
      <c r="Y3" s="1"/>
      <c r="Z3" s="1">
        <v>228.05944202898547</v>
      </c>
      <c r="AA3" s="1">
        <v>28.244989130434782</v>
      </c>
      <c r="AB3" s="1">
        <v>19.885340579710149</v>
      </c>
      <c r="AC3" s="1">
        <v>266.40899999999999</v>
      </c>
    </row>
    <row r="4" spans="1:29" x14ac:dyDescent="0.3">
      <c r="A4" t="s">
        <v>46</v>
      </c>
      <c r="B4" s="1">
        <v>253.31236916685378</v>
      </c>
      <c r="C4" s="1">
        <v>30.324175384884096</v>
      </c>
      <c r="D4" s="1">
        <v>21.049111595179284</v>
      </c>
      <c r="E4" s="1">
        <v>810.02133333333325</v>
      </c>
      <c r="F4" s="1"/>
      <c r="G4" s="1"/>
      <c r="H4" s="1">
        <v>263.35818625235407</v>
      </c>
      <c r="I4" s="1">
        <v>29.668948681732576</v>
      </c>
      <c r="J4" s="1">
        <v>18.810277683615819</v>
      </c>
      <c r="K4" s="1">
        <v>0.23366666666666666</v>
      </c>
      <c r="L4" s="1"/>
      <c r="M4" s="1"/>
      <c r="N4" s="1">
        <v>291.83999275362311</v>
      </c>
      <c r="O4" s="1">
        <v>34.165659420289863</v>
      </c>
      <c r="P4" s="1">
        <v>22.959210144927535</v>
      </c>
      <c r="Q4" s="1">
        <v>124.36266666666664</v>
      </c>
      <c r="R4" s="1"/>
      <c r="S4" s="1"/>
      <c r="T4" s="1">
        <v>237.92207923497261</v>
      </c>
      <c r="U4" s="1">
        <v>29.299948087431691</v>
      </c>
      <c r="V4" s="1">
        <v>21.615322404371593</v>
      </c>
      <c r="W4" s="1">
        <v>432.14866666666671</v>
      </c>
      <c r="X4" s="1"/>
      <c r="Y4" s="1"/>
      <c r="Z4" s="1">
        <v>228.71124275362322</v>
      </c>
      <c r="AA4" s="1">
        <v>28.263579710144931</v>
      </c>
      <c r="AB4" s="1">
        <v>19.8311884057971</v>
      </c>
      <c r="AC4" s="1">
        <v>253.2763333333333</v>
      </c>
    </row>
    <row r="5" spans="1:29" x14ac:dyDescent="0.3">
      <c r="A5" t="s">
        <v>47</v>
      </c>
      <c r="B5" s="1">
        <v>253.80473461835967</v>
      </c>
      <c r="C5" s="1">
        <v>30.19074109589042</v>
      </c>
      <c r="D5" s="1">
        <v>20.870557948449239</v>
      </c>
      <c r="E5" s="1">
        <v>816.93499999999995</v>
      </c>
      <c r="F5" s="1"/>
      <c r="G5" s="1"/>
      <c r="H5" s="1">
        <v>264.31259557438796</v>
      </c>
      <c r="I5" s="1">
        <v>29.293657156308857</v>
      </c>
      <c r="J5" s="1">
        <v>18.469680131826742</v>
      </c>
      <c r="K5" s="1">
        <v>0.29766666666666658</v>
      </c>
      <c r="L5" s="1"/>
      <c r="M5" s="1"/>
      <c r="N5" s="1">
        <v>293.70618478260866</v>
      </c>
      <c r="O5" s="1">
        <v>33.976985507246376</v>
      </c>
      <c r="P5" s="1">
        <v>22.799456521739128</v>
      </c>
      <c r="Q5" s="1">
        <v>120.88333333333334</v>
      </c>
      <c r="R5" s="1"/>
      <c r="S5" s="1"/>
      <c r="T5" s="1">
        <v>237.64494808743169</v>
      </c>
      <c r="U5" s="1">
        <v>29.424841530054646</v>
      </c>
      <c r="V5" s="1">
        <v>21.532868852459011</v>
      </c>
      <c r="W5" s="1">
        <v>437.70633333333348</v>
      </c>
      <c r="X5" s="1"/>
      <c r="Y5" s="1"/>
      <c r="Z5" s="1">
        <v>228.55234782608696</v>
      </c>
      <c r="AA5" s="1">
        <v>27.99865217391304</v>
      </c>
      <c r="AB5" s="1">
        <v>19.610764492753624</v>
      </c>
      <c r="AC5" s="1">
        <v>258.04766666666666</v>
      </c>
    </row>
    <row r="6" spans="1:29" x14ac:dyDescent="0.3">
      <c r="A6" t="s">
        <v>48</v>
      </c>
      <c r="B6" s="1">
        <v>253.76042618708979</v>
      </c>
      <c r="C6" s="1">
        <v>30.08932707787509</v>
      </c>
      <c r="D6" s="1">
        <v>20.764895071986427</v>
      </c>
      <c r="E6" s="1">
        <v>818.65599999999972</v>
      </c>
      <c r="F6" s="1"/>
      <c r="G6" s="1"/>
      <c r="H6" s="1">
        <v>263.05594849340861</v>
      </c>
      <c r="I6" s="1">
        <v>29.420003766478338</v>
      </c>
      <c r="J6" s="1">
        <v>18.445015725047078</v>
      </c>
      <c r="K6" s="1">
        <v>0.17933333333333332</v>
      </c>
      <c r="L6" s="1"/>
      <c r="M6" s="1"/>
      <c r="N6" s="1">
        <v>292.63484420289853</v>
      </c>
      <c r="O6" s="1">
        <v>34.066572463768111</v>
      </c>
      <c r="P6" s="1">
        <v>22.730851449275359</v>
      </c>
      <c r="Q6" s="1">
        <v>115.38566666666665</v>
      </c>
      <c r="R6" s="1"/>
      <c r="S6" s="1"/>
      <c r="T6" s="1">
        <v>238.39799726775962</v>
      </c>
      <c r="U6" s="1">
        <v>29.02060655737705</v>
      </c>
      <c r="V6" s="1">
        <v>21.372489071038256</v>
      </c>
      <c r="W6" s="1">
        <v>455.78433333333339</v>
      </c>
      <c r="X6" s="1"/>
      <c r="Y6" s="1"/>
      <c r="Z6" s="1">
        <v>229.25878985507248</v>
      </c>
      <c r="AA6" s="1">
        <v>27.961028985507241</v>
      </c>
      <c r="AB6" s="1">
        <v>19.488416666666662</v>
      </c>
      <c r="AC6" s="1">
        <v>247.3066666666667</v>
      </c>
    </row>
    <row r="7" spans="1:29" x14ac:dyDescent="0.3">
      <c r="A7" t="s">
        <v>49</v>
      </c>
      <c r="B7" s="1">
        <v>254.18989488235141</v>
      </c>
      <c r="C7" s="1">
        <v>30.10432657135015</v>
      </c>
      <c r="D7" s="1">
        <v>20.742412680589855</v>
      </c>
      <c r="E7" s="1">
        <v>822.23166666666657</v>
      </c>
      <c r="F7" s="1"/>
      <c r="G7" s="1"/>
      <c r="H7" s="1">
        <v>263.90771817325793</v>
      </c>
      <c r="I7" s="1">
        <v>29.193865065913375</v>
      </c>
      <c r="J7" s="1">
        <v>18.265450282485872</v>
      </c>
      <c r="K7" s="1">
        <v>0.23066666666666666</v>
      </c>
      <c r="L7" s="1"/>
      <c r="M7" s="1"/>
      <c r="N7" s="1">
        <v>294.40625724637692</v>
      </c>
      <c r="O7" s="1">
        <v>34.025789855072468</v>
      </c>
      <c r="P7" s="1">
        <v>22.726007246376813</v>
      </c>
      <c r="Q7" s="1">
        <v>112.87933333333331</v>
      </c>
      <c r="R7" s="1"/>
      <c r="S7" s="1"/>
      <c r="T7" s="1">
        <v>238.08167486338797</v>
      </c>
      <c r="U7" s="1">
        <v>29.289702185792351</v>
      </c>
      <c r="V7" s="1">
        <v>21.445625683060104</v>
      </c>
      <c r="W7" s="1">
        <v>459.85966666666667</v>
      </c>
      <c r="X7" s="1"/>
      <c r="Y7" s="1"/>
      <c r="Z7" s="1">
        <v>229.06306884057975</v>
      </c>
      <c r="AA7" s="1">
        <v>27.850221014492757</v>
      </c>
      <c r="AB7" s="1">
        <v>19.422663043478266</v>
      </c>
      <c r="AC7" s="1">
        <v>249.262</v>
      </c>
    </row>
    <row r="8" spans="1:29" x14ac:dyDescent="0.3">
      <c r="A8" t="s">
        <v>50</v>
      </c>
      <c r="B8" s="1">
        <v>254.20510330364053</v>
      </c>
      <c r="C8" s="1">
        <v>30.054106023404945</v>
      </c>
      <c r="D8" s="1">
        <v>20.679431576714819</v>
      </c>
      <c r="E8" s="1">
        <v>803.51566666666645</v>
      </c>
      <c r="F8" s="1"/>
      <c r="G8" s="1"/>
      <c r="H8" s="1">
        <v>262.7432874764595</v>
      </c>
      <c r="I8" s="1">
        <v>29.353636346516005</v>
      </c>
      <c r="J8" s="1">
        <v>18.274037758945379</v>
      </c>
      <c r="K8" s="1">
        <v>0.14699999999999999</v>
      </c>
      <c r="L8" s="1"/>
      <c r="M8" s="1"/>
      <c r="N8" s="1">
        <v>293.45622826086952</v>
      </c>
      <c r="O8" s="1">
        <v>34.174847826086953</v>
      </c>
      <c r="P8" s="1">
        <v>22.715800724637685</v>
      </c>
      <c r="Q8" s="1">
        <v>104.60066666666665</v>
      </c>
      <c r="R8" s="1"/>
      <c r="S8" s="1"/>
      <c r="T8" s="1">
        <v>238.86167759562841</v>
      </c>
      <c r="U8" s="1">
        <v>28.959158469945361</v>
      </c>
      <c r="V8" s="1">
        <v>21.334937158469941</v>
      </c>
      <c r="W8" s="1">
        <v>460.08533333333327</v>
      </c>
      <c r="X8" s="1"/>
      <c r="Y8" s="1"/>
      <c r="Z8" s="1">
        <v>229.78943840579709</v>
      </c>
      <c r="AA8" s="1">
        <v>27.837115942028991</v>
      </c>
      <c r="AB8" s="1">
        <v>19.324061594202899</v>
      </c>
      <c r="AC8" s="1">
        <v>238.68266666666665</v>
      </c>
    </row>
    <row r="9" spans="1:29" x14ac:dyDescent="0.3">
      <c r="A9" t="s">
        <v>51</v>
      </c>
      <c r="B9" s="1">
        <v>254.57302527634312</v>
      </c>
      <c r="C9" s="1">
        <v>30.030037063652468</v>
      </c>
      <c r="D9" s="1">
        <v>20.618527551962469</v>
      </c>
      <c r="E9" s="1">
        <v>803.86866666666663</v>
      </c>
      <c r="F9" s="1"/>
      <c r="G9" s="1"/>
      <c r="H9" s="1">
        <v>263.49389698681733</v>
      </c>
      <c r="I9" s="1">
        <v>29.090497645951032</v>
      </c>
      <c r="J9" s="1">
        <v>18.060044256120531</v>
      </c>
      <c r="K9" s="1">
        <v>0.18966666666666665</v>
      </c>
      <c r="L9" s="1"/>
      <c r="M9" s="1"/>
      <c r="N9" s="1">
        <v>295.13632971014493</v>
      </c>
      <c r="O9" s="1">
        <v>34.097637681159426</v>
      </c>
      <c r="P9" s="1">
        <v>22.6688115942029</v>
      </c>
      <c r="Q9" s="1">
        <v>102.24399999999999</v>
      </c>
      <c r="R9" s="1"/>
      <c r="S9" s="1"/>
      <c r="T9" s="1">
        <v>238.50647540983607</v>
      </c>
      <c r="U9" s="1">
        <v>29.184330601092899</v>
      </c>
      <c r="V9" s="1">
        <v>21.372666666666671</v>
      </c>
      <c r="W9" s="1">
        <v>462.52733333333339</v>
      </c>
      <c r="X9" s="1"/>
      <c r="Y9" s="1"/>
      <c r="Z9" s="1">
        <v>229.55741304347831</v>
      </c>
      <c r="AA9" s="1">
        <v>27.689699275362319</v>
      </c>
      <c r="AB9" s="1">
        <v>19.217036231884052</v>
      </c>
      <c r="AC9" s="1">
        <v>238.90766666666659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FAF11-85B1-4CB5-91AA-18E658A0DA04}">
  <sheetPr codeName="Sheet77"/>
  <dimension ref="A1:AC120"/>
  <sheetViews>
    <sheetView workbookViewId="0">
      <selection sqref="A1:G1"/>
    </sheetView>
  </sheetViews>
  <sheetFormatPr defaultRowHeight="14.4" x14ac:dyDescent="0.3"/>
  <cols>
    <col min="1" max="1" width="21.44140625" bestFit="1" customWidth="1"/>
  </cols>
  <sheetData>
    <row r="1" spans="1:29" x14ac:dyDescent="0.3">
      <c r="A1" t="s">
        <v>4</v>
      </c>
    </row>
    <row r="2" spans="1:29" x14ac:dyDescent="0.3">
      <c r="A2" t="s">
        <v>9</v>
      </c>
      <c r="B2" t="s">
        <v>0</v>
      </c>
      <c r="C2" t="s">
        <v>1</v>
      </c>
      <c r="D2" t="s">
        <v>2</v>
      </c>
      <c r="E2" t="s">
        <v>3</v>
      </c>
      <c r="G2" t="s">
        <v>6</v>
      </c>
      <c r="H2" t="s">
        <v>0</v>
      </c>
      <c r="I2" t="s">
        <v>1</v>
      </c>
      <c r="J2" t="s">
        <v>2</v>
      </c>
      <c r="K2" t="s">
        <v>3</v>
      </c>
      <c r="M2" t="s">
        <v>7</v>
      </c>
      <c r="N2" t="s">
        <v>0</v>
      </c>
      <c r="O2" t="s">
        <v>1</v>
      </c>
      <c r="P2" t="s">
        <v>2</v>
      </c>
      <c r="Q2" t="s">
        <v>3</v>
      </c>
      <c r="S2" t="s">
        <v>5</v>
      </c>
      <c r="T2" t="s">
        <v>0</v>
      </c>
      <c r="U2" t="s">
        <v>1</v>
      </c>
      <c r="V2" t="s">
        <v>2</v>
      </c>
      <c r="W2" t="s">
        <v>3</v>
      </c>
      <c r="Y2" t="s">
        <v>8</v>
      </c>
      <c r="Z2" t="s">
        <v>0</v>
      </c>
      <c r="AA2" t="s">
        <v>1</v>
      </c>
      <c r="AB2" t="s">
        <v>2</v>
      </c>
      <c r="AC2" t="s">
        <v>3</v>
      </c>
    </row>
    <row r="3" spans="1:29" x14ac:dyDescent="0.3">
      <c r="A3" t="s">
        <v>28</v>
      </c>
      <c r="B3" s="1">
        <v>223.06902918548462</v>
      </c>
      <c r="C3" s="1">
        <v>31.456673661534879</v>
      </c>
      <c r="D3" s="1">
        <v>20.663217181924793</v>
      </c>
      <c r="E3" s="1">
        <v>790.50444444444418</v>
      </c>
      <c r="F3" s="1"/>
      <c r="G3" s="1"/>
      <c r="H3" s="1">
        <v>244.30641713747647</v>
      </c>
      <c r="I3" s="1">
        <v>30.83653860640301</v>
      </c>
      <c r="J3" s="1">
        <v>17.955956371625863</v>
      </c>
      <c r="K3" s="1">
        <v>0.60222222222222244</v>
      </c>
      <c r="L3" s="1"/>
      <c r="M3" s="1"/>
      <c r="N3" s="1">
        <v>292.33561594202899</v>
      </c>
      <c r="O3" s="1">
        <v>35.44119565217391</v>
      </c>
      <c r="P3" s="1">
        <v>22.389698067632853</v>
      </c>
      <c r="Q3" s="1">
        <v>130.7211111111111</v>
      </c>
      <c r="R3" s="1"/>
      <c r="S3" s="1"/>
      <c r="T3" s="1">
        <v>181.11112021857923</v>
      </c>
      <c r="U3" s="1">
        <v>30.327222222222222</v>
      </c>
      <c r="V3" s="1">
        <v>21.566867030965394</v>
      </c>
      <c r="W3" s="1">
        <v>410.38444444444445</v>
      </c>
      <c r="X3" s="1"/>
      <c r="Y3" s="1"/>
      <c r="Z3" s="1">
        <v>195.77873188405795</v>
      </c>
      <c r="AA3" s="1">
        <v>29.369166666666658</v>
      </c>
      <c r="AB3" s="1">
        <v>19.481256038647341</v>
      </c>
      <c r="AC3" s="1">
        <v>248.79666666666662</v>
      </c>
    </row>
    <row r="4" spans="1:29" x14ac:dyDescent="0.3">
      <c r="A4" t="s">
        <v>29</v>
      </c>
      <c r="B4" s="1">
        <v>224.34382480391912</v>
      </c>
      <c r="C4" s="1">
        <v>31.286539960575901</v>
      </c>
      <c r="D4" s="1">
        <v>20.419213272783217</v>
      </c>
      <c r="E4" s="1">
        <v>808.40111111111116</v>
      </c>
      <c r="F4" s="1"/>
      <c r="G4" s="1"/>
      <c r="H4" s="1">
        <v>243.56764375392342</v>
      </c>
      <c r="I4" s="1">
        <v>30.43227871939736</v>
      </c>
      <c r="J4" s="1">
        <v>17.543520401757689</v>
      </c>
      <c r="K4" s="1">
        <v>0.74888888888888894</v>
      </c>
      <c r="L4" s="1"/>
      <c r="M4" s="1"/>
      <c r="N4" s="1">
        <v>292.97705314009659</v>
      </c>
      <c r="O4" s="1">
        <v>35.24012077294686</v>
      </c>
      <c r="P4" s="1">
        <v>22.185579710144925</v>
      </c>
      <c r="Q4" s="1">
        <v>125.41444444444444</v>
      </c>
      <c r="R4" s="1"/>
      <c r="S4" s="1"/>
      <c r="T4" s="1">
        <v>185.29591074681241</v>
      </c>
      <c r="U4" s="1">
        <v>30.396384335154835</v>
      </c>
      <c r="V4" s="1">
        <v>21.39823315118397</v>
      </c>
      <c r="W4" s="1">
        <v>425.24111111111114</v>
      </c>
      <c r="X4" s="1"/>
      <c r="Y4" s="1"/>
      <c r="Z4" s="1">
        <v>195.12463768115941</v>
      </c>
      <c r="AA4" s="1">
        <v>29.063369565217393</v>
      </c>
      <c r="AB4" s="1">
        <v>19.20585748792271</v>
      </c>
      <c r="AC4" s="1">
        <v>256.99666666666667</v>
      </c>
    </row>
    <row r="5" spans="1:29" x14ac:dyDescent="0.3">
      <c r="A5" t="s">
        <v>30</v>
      </c>
      <c r="B5" s="1">
        <v>223.38194750937782</v>
      </c>
      <c r="C5" s="1">
        <v>31.211323651969956</v>
      </c>
      <c r="D5" s="1">
        <v>20.374012841945913</v>
      </c>
      <c r="E5" s="1">
        <v>813.42</v>
      </c>
      <c r="F5" s="1"/>
      <c r="G5" s="1"/>
      <c r="H5" s="1">
        <v>244.28332423101068</v>
      </c>
      <c r="I5" s="1">
        <v>30.602438166980544</v>
      </c>
      <c r="J5" s="1">
        <v>17.590024168236035</v>
      </c>
      <c r="K5" s="1">
        <v>0.43888888888888894</v>
      </c>
      <c r="L5" s="1"/>
      <c r="M5" s="1"/>
      <c r="N5" s="1">
        <v>293.45992753623193</v>
      </c>
      <c r="O5" s="1">
        <v>35.322499999999998</v>
      </c>
      <c r="P5" s="1">
        <v>22.146570048309179</v>
      </c>
      <c r="Q5" s="1">
        <v>126.23444444444443</v>
      </c>
      <c r="R5" s="1"/>
      <c r="S5" s="1"/>
      <c r="T5" s="1">
        <v>180.79908925318762</v>
      </c>
      <c r="U5" s="1">
        <v>30.014763205828785</v>
      </c>
      <c r="V5" s="1">
        <v>21.32422586520947</v>
      </c>
      <c r="W5" s="1">
        <v>447.47222222222223</v>
      </c>
      <c r="X5" s="1"/>
      <c r="Y5" s="1"/>
      <c r="Z5" s="1">
        <v>196.32486714975849</v>
      </c>
      <c r="AA5" s="1">
        <v>29.078925120772947</v>
      </c>
      <c r="AB5" s="1">
        <v>19.133611111111112</v>
      </c>
      <c r="AC5" s="1">
        <v>239.27444444444441</v>
      </c>
    </row>
    <row r="6" spans="1:29" x14ac:dyDescent="0.3">
      <c r="A6" t="s">
        <v>31</v>
      </c>
      <c r="B6" s="1">
        <v>224.71130507107159</v>
      </c>
      <c r="C6" s="1">
        <v>31.095580033435642</v>
      </c>
      <c r="D6" s="1">
        <v>20.198451223062271</v>
      </c>
      <c r="E6" s="1">
        <v>824.17777777777746</v>
      </c>
      <c r="F6" s="1"/>
      <c r="G6" s="1"/>
      <c r="H6" s="1">
        <v>243.58455900816068</v>
      </c>
      <c r="I6" s="1">
        <v>30.251071876961703</v>
      </c>
      <c r="J6" s="1">
        <v>17.244358129315756</v>
      </c>
      <c r="K6" s="1">
        <v>0.59000000000000008</v>
      </c>
      <c r="L6" s="1"/>
      <c r="M6" s="1"/>
      <c r="N6" s="1">
        <v>294.06823671497591</v>
      </c>
      <c r="O6" s="1">
        <v>35.172983091787437</v>
      </c>
      <c r="P6" s="1">
        <v>22.013526570048306</v>
      </c>
      <c r="Q6" s="1">
        <v>121.87555555555556</v>
      </c>
      <c r="R6" s="1"/>
      <c r="S6" s="1"/>
      <c r="T6" s="1">
        <v>185.10211293260474</v>
      </c>
      <c r="U6" s="1">
        <v>30.133415300546446</v>
      </c>
      <c r="V6" s="1">
        <v>21.221948998178505</v>
      </c>
      <c r="W6" s="1">
        <v>458.63888888888897</v>
      </c>
      <c r="X6" s="1"/>
      <c r="Y6" s="1"/>
      <c r="Z6" s="1">
        <v>195.73793478260873</v>
      </c>
      <c r="AA6" s="1">
        <v>28.837814009661834</v>
      </c>
      <c r="AB6" s="1">
        <v>18.927862318840582</v>
      </c>
      <c r="AC6" s="1">
        <v>243.07333333333338</v>
      </c>
    </row>
    <row r="7" spans="1:29" x14ac:dyDescent="0.3">
      <c r="A7" t="s">
        <v>32</v>
      </c>
      <c r="B7" s="1">
        <v>223.95771449958823</v>
      </c>
      <c r="C7" s="1">
        <v>30.992564554898479</v>
      </c>
      <c r="D7" s="1">
        <v>20.114003468323482</v>
      </c>
      <c r="E7" s="1">
        <v>817.52444444444438</v>
      </c>
      <c r="F7" s="1"/>
      <c r="G7" s="1"/>
      <c r="H7" s="1">
        <v>244.41067325800375</v>
      </c>
      <c r="I7" s="1">
        <v>30.389644067796603</v>
      </c>
      <c r="J7" s="1">
        <v>17.257410232266167</v>
      </c>
      <c r="K7" s="1">
        <v>0.25333333333333335</v>
      </c>
      <c r="L7" s="1"/>
      <c r="M7" s="1"/>
      <c r="N7" s="1">
        <v>294.45518115942031</v>
      </c>
      <c r="O7" s="1">
        <v>35.233659420289854</v>
      </c>
      <c r="P7" s="1">
        <v>21.944311594202897</v>
      </c>
      <c r="Q7" s="1">
        <v>123.42666666666668</v>
      </c>
      <c r="R7" s="1"/>
      <c r="S7" s="1"/>
      <c r="T7" s="1">
        <v>181.09876138433521</v>
      </c>
      <c r="U7" s="1">
        <v>29.741466302367954</v>
      </c>
      <c r="V7" s="1">
        <v>21.11753187613844</v>
      </c>
      <c r="W7" s="1">
        <v>470.23333333333335</v>
      </c>
      <c r="X7" s="1"/>
      <c r="Y7" s="1"/>
      <c r="Z7" s="1">
        <v>197.1353019323671</v>
      </c>
      <c r="AA7" s="1">
        <v>28.798743961352656</v>
      </c>
      <c r="AB7" s="1">
        <v>18.791859903381646</v>
      </c>
      <c r="AC7" s="1">
        <v>223.61111111111106</v>
      </c>
    </row>
    <row r="8" spans="1:29" x14ac:dyDescent="0.3">
      <c r="A8" t="s">
        <v>33</v>
      </c>
      <c r="B8" s="1">
        <v>225.33219827665079</v>
      </c>
      <c r="C8" s="1">
        <v>31.019851045071569</v>
      </c>
      <c r="D8" s="1">
        <v>20.089613327677558</v>
      </c>
      <c r="E8" s="1">
        <v>821.95999999999992</v>
      </c>
      <c r="F8" s="1"/>
      <c r="G8" s="1"/>
      <c r="H8" s="1">
        <v>243.75075706214687</v>
      </c>
      <c r="I8" s="1">
        <v>30.17818549905838</v>
      </c>
      <c r="J8" s="1">
        <v>17.064206214689264</v>
      </c>
      <c r="K8" s="1">
        <v>0.40333333333333338</v>
      </c>
      <c r="L8" s="1"/>
      <c r="M8" s="1"/>
      <c r="N8" s="1">
        <v>295.00746376811588</v>
      </c>
      <c r="O8" s="1">
        <v>35.22542270531401</v>
      </c>
      <c r="P8" s="1">
        <v>21.960012077294685</v>
      </c>
      <c r="Q8" s="1">
        <v>118.76222222222223</v>
      </c>
      <c r="R8" s="1"/>
      <c r="S8" s="1"/>
      <c r="T8" s="1">
        <v>185.50588342440798</v>
      </c>
      <c r="U8" s="1">
        <v>30.002978142076515</v>
      </c>
      <c r="V8" s="1">
        <v>21.169836065573769</v>
      </c>
      <c r="W8" s="1">
        <v>477.7722222222223</v>
      </c>
      <c r="X8" s="1"/>
      <c r="Y8" s="1"/>
      <c r="Z8" s="1">
        <v>196.6204347826087</v>
      </c>
      <c r="AA8" s="1">
        <v>28.704649758454106</v>
      </c>
      <c r="AB8" s="1">
        <v>18.734359903381648</v>
      </c>
      <c r="AC8" s="1">
        <v>225.02222222222224</v>
      </c>
    </row>
    <row r="9" spans="1:29" x14ac:dyDescent="0.3">
      <c r="A9" t="s">
        <v>34</v>
      </c>
      <c r="B9" s="1">
        <v>224.53334741456035</v>
      </c>
      <c r="C9" s="1">
        <v>30.971198401410618</v>
      </c>
      <c r="D9" s="1">
        <v>20.052327311591849</v>
      </c>
      <c r="E9" s="1">
        <v>793.47333333333336</v>
      </c>
      <c r="F9" s="1"/>
      <c r="G9" s="1"/>
      <c r="H9" s="1">
        <v>244.53796484620216</v>
      </c>
      <c r="I9" s="1">
        <v>30.357262711864401</v>
      </c>
      <c r="J9" s="1">
        <v>17.129369428750785</v>
      </c>
      <c r="K9" s="1">
        <v>0.1111111111111111</v>
      </c>
      <c r="L9" s="1"/>
      <c r="M9" s="1"/>
      <c r="N9" s="1">
        <v>295.45014492753626</v>
      </c>
      <c r="O9" s="1">
        <v>35.350205314009663</v>
      </c>
      <c r="P9" s="1">
        <v>21.953248792270532</v>
      </c>
      <c r="Q9" s="1">
        <v>116.74666666666664</v>
      </c>
      <c r="R9" s="1"/>
      <c r="S9" s="1"/>
      <c r="T9" s="1">
        <v>181.39824225865206</v>
      </c>
      <c r="U9" s="1">
        <v>29.684845173041897</v>
      </c>
      <c r="V9" s="1">
        <v>21.114699453551914</v>
      </c>
      <c r="W9" s="1">
        <v>469.11666666666679</v>
      </c>
      <c r="X9" s="1"/>
      <c r="Y9" s="1"/>
      <c r="Z9" s="1">
        <v>197.94578502415459</v>
      </c>
      <c r="AA9" s="1">
        <v>28.693321256038651</v>
      </c>
      <c r="AB9" s="1">
        <v>18.624227053140096</v>
      </c>
      <c r="AC9" s="1">
        <v>207.49888888888893</v>
      </c>
    </row>
    <row r="10" spans="1:29" x14ac:dyDescent="0.3">
      <c r="A10" t="s">
        <v>35</v>
      </c>
      <c r="B10" s="1">
        <v>225.9528695178449</v>
      </c>
      <c r="C10" s="1">
        <v>30.953087697848314</v>
      </c>
      <c r="D10" s="1">
        <v>19.983157671482399</v>
      </c>
      <c r="E10" s="1">
        <v>793.56555555555542</v>
      </c>
      <c r="F10" s="1"/>
      <c r="G10" s="1"/>
      <c r="H10" s="1">
        <v>243.91646924042684</v>
      </c>
      <c r="I10" s="1">
        <v>30.098621468926556</v>
      </c>
      <c r="J10" s="1">
        <v>16.890200564971749</v>
      </c>
      <c r="K10" s="1">
        <v>0.20666666666666667</v>
      </c>
      <c r="L10" s="1"/>
      <c r="M10" s="1"/>
      <c r="N10" s="1">
        <v>295.94666666666666</v>
      </c>
      <c r="O10" s="1">
        <v>35.298816425120783</v>
      </c>
      <c r="P10" s="1">
        <v>21.918309178743961</v>
      </c>
      <c r="Q10" s="1">
        <v>111.89111111111112</v>
      </c>
      <c r="R10" s="1"/>
      <c r="S10" s="1"/>
      <c r="T10" s="1">
        <v>185.90936247723135</v>
      </c>
      <c r="U10" s="1">
        <v>29.90093806921675</v>
      </c>
      <c r="V10" s="1">
        <v>21.130318761384338</v>
      </c>
      <c r="W10" s="1">
        <v>473.62333333333328</v>
      </c>
      <c r="X10" s="1"/>
      <c r="Y10" s="1"/>
      <c r="Z10" s="1">
        <v>197.50277777777777</v>
      </c>
      <c r="AA10" s="1">
        <v>28.552765700483089</v>
      </c>
      <c r="AB10" s="1">
        <v>18.517838164251209</v>
      </c>
      <c r="AC10" s="1">
        <v>207.84444444444449</v>
      </c>
    </row>
    <row r="11" spans="1:29" x14ac:dyDescent="0.3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3">
      <c r="A12" t="s">
        <v>36</v>
      </c>
      <c r="B12" s="1">
        <v>211.70355192920289</v>
      </c>
      <c r="C12" s="1">
        <v>31.516170297177933</v>
      </c>
      <c r="D12" s="1">
        <v>20.861598655920684</v>
      </c>
      <c r="E12" s="1">
        <v>762.44333333333316</v>
      </c>
      <c r="F12" s="1"/>
      <c r="G12" s="1"/>
      <c r="H12" s="1">
        <v>235.82022536095417</v>
      </c>
      <c r="I12" s="1">
        <v>30.768341807909604</v>
      </c>
      <c r="J12" s="1">
        <v>18.246532956685499</v>
      </c>
      <c r="K12" s="1">
        <v>0.43000000000000005</v>
      </c>
      <c r="L12" s="1"/>
      <c r="M12" s="1"/>
      <c r="N12" s="1">
        <v>288.95025362318836</v>
      </c>
      <c r="O12" s="1">
        <v>35.561292270531403</v>
      </c>
      <c r="P12" s="1">
        <v>22.655748792270533</v>
      </c>
      <c r="Q12" s="1">
        <v>113.39333333333332</v>
      </c>
      <c r="R12" s="1"/>
      <c r="S12" s="1"/>
      <c r="T12" s="1">
        <v>166.69072859744995</v>
      </c>
      <c r="U12" s="1">
        <v>30.547504553734054</v>
      </c>
      <c r="V12" s="1">
        <v>21.659389799635708</v>
      </c>
      <c r="W12" s="1">
        <v>379.01111111111106</v>
      </c>
      <c r="X12" s="1"/>
      <c r="Y12" s="1"/>
      <c r="Z12" s="1">
        <v>178.62886473429955</v>
      </c>
      <c r="AA12" s="1">
        <v>29.236896135265699</v>
      </c>
      <c r="AB12" s="1">
        <v>19.692306763285025</v>
      </c>
      <c r="AC12" s="1">
        <v>269.60888888888883</v>
      </c>
    </row>
    <row r="13" spans="1:29" x14ac:dyDescent="0.3">
      <c r="A13" t="s">
        <v>37</v>
      </c>
      <c r="B13" s="1">
        <v>212.92478867347023</v>
      </c>
      <c r="C13" s="1">
        <v>31.340950320632786</v>
      </c>
      <c r="D13" s="1">
        <v>20.622744142525633</v>
      </c>
      <c r="E13" s="1">
        <v>783.30555555555554</v>
      </c>
      <c r="F13" s="1"/>
      <c r="G13" s="1"/>
      <c r="H13" s="1">
        <v>234.32962178279973</v>
      </c>
      <c r="I13" s="1">
        <v>30.33982642812304</v>
      </c>
      <c r="J13" s="1">
        <v>17.845942247332076</v>
      </c>
      <c r="K13" s="1">
        <v>0.53444444444444461</v>
      </c>
      <c r="L13" s="1"/>
      <c r="M13" s="1"/>
      <c r="N13" s="1">
        <v>289.89554347826089</v>
      </c>
      <c r="O13" s="1">
        <v>35.366884057971014</v>
      </c>
      <c r="P13" s="1">
        <v>22.464070048309182</v>
      </c>
      <c r="Q13" s="1">
        <v>108.91000000000003</v>
      </c>
      <c r="R13" s="1"/>
      <c r="S13" s="1"/>
      <c r="T13" s="1">
        <v>171.34080145719491</v>
      </c>
      <c r="U13" s="1">
        <v>30.609417122040067</v>
      </c>
      <c r="V13" s="1">
        <v>21.48735883424408</v>
      </c>
      <c r="W13" s="1">
        <v>395.58555555555563</v>
      </c>
      <c r="X13" s="1"/>
      <c r="Y13" s="1"/>
      <c r="Z13" s="1">
        <v>177.32561594202895</v>
      </c>
      <c r="AA13" s="1">
        <v>28.929432367149754</v>
      </c>
      <c r="AB13" s="1">
        <v>19.421775362318847</v>
      </c>
      <c r="AC13" s="1">
        <v>278.27555555555563</v>
      </c>
    </row>
    <row r="14" spans="1:29" x14ac:dyDescent="0.3">
      <c r="A14" t="s">
        <v>38</v>
      </c>
      <c r="B14" s="1">
        <v>212.07110974707018</v>
      </c>
      <c r="C14" s="1">
        <v>31.255033893089134</v>
      </c>
      <c r="D14" s="1">
        <v>20.565478370802879</v>
      </c>
      <c r="E14" s="1">
        <v>792.06777777777779</v>
      </c>
      <c r="F14" s="1"/>
      <c r="G14" s="1"/>
      <c r="H14" s="1">
        <v>235.71361456371631</v>
      </c>
      <c r="I14" s="1">
        <v>30.517423728813558</v>
      </c>
      <c r="J14" s="1">
        <v>17.884480853735095</v>
      </c>
      <c r="K14" s="1">
        <v>0.29888888888888887</v>
      </c>
      <c r="L14" s="1"/>
      <c r="M14" s="1"/>
      <c r="N14" s="1">
        <v>289.95410628019329</v>
      </c>
      <c r="O14" s="1">
        <v>35.425289855072471</v>
      </c>
      <c r="P14" s="1">
        <v>22.402789855072463</v>
      </c>
      <c r="Q14" s="1">
        <v>111.44111111111113</v>
      </c>
      <c r="R14" s="1"/>
      <c r="S14" s="1"/>
      <c r="T14" s="1">
        <v>166.69241347905282</v>
      </c>
      <c r="U14" s="1">
        <v>30.214544626593806</v>
      </c>
      <c r="V14" s="1">
        <v>21.407231329690347</v>
      </c>
      <c r="W14" s="1">
        <v>415.84333333333325</v>
      </c>
      <c r="X14" s="1"/>
      <c r="Y14" s="1"/>
      <c r="Z14" s="1">
        <v>179.15055555555554</v>
      </c>
      <c r="AA14" s="1">
        <v>28.939335748792271</v>
      </c>
      <c r="AB14" s="1">
        <v>19.337210144927539</v>
      </c>
      <c r="AC14" s="1">
        <v>264.48444444444442</v>
      </c>
    </row>
    <row r="15" spans="1:29" x14ac:dyDescent="0.3">
      <c r="A15" t="s">
        <v>39</v>
      </c>
      <c r="B15" s="1">
        <v>213.38453585181858</v>
      </c>
      <c r="C15" s="1">
        <v>31.134860543453854</v>
      </c>
      <c r="D15" s="1">
        <v>20.395048223835783</v>
      </c>
      <c r="E15" s="1">
        <v>806.91777777777793</v>
      </c>
      <c r="F15" s="1"/>
      <c r="G15" s="1"/>
      <c r="H15" s="1">
        <v>234.34470401757693</v>
      </c>
      <c r="I15" s="1">
        <v>30.1443088512241</v>
      </c>
      <c r="J15" s="1">
        <v>17.551062774639046</v>
      </c>
      <c r="K15" s="1">
        <v>0.4</v>
      </c>
      <c r="L15" s="1"/>
      <c r="M15" s="1"/>
      <c r="N15" s="1">
        <v>290.85234299516907</v>
      </c>
      <c r="O15" s="1">
        <v>35.283768115942024</v>
      </c>
      <c r="P15" s="1">
        <v>22.282222222222217</v>
      </c>
      <c r="Q15" s="1">
        <v>108.12555555555554</v>
      </c>
      <c r="R15" s="1"/>
      <c r="S15" s="1"/>
      <c r="T15" s="1">
        <v>171.47518214936247</v>
      </c>
      <c r="U15" s="1">
        <v>30.325610200364295</v>
      </c>
      <c r="V15" s="1">
        <v>21.30140255009108</v>
      </c>
      <c r="W15" s="1">
        <v>429.44555555555553</v>
      </c>
      <c r="X15" s="1"/>
      <c r="Y15" s="1"/>
      <c r="Z15" s="1">
        <v>178.00590579710149</v>
      </c>
      <c r="AA15" s="1">
        <v>28.696666666666665</v>
      </c>
      <c r="AB15" s="1">
        <v>19.136171497584542</v>
      </c>
      <c r="AC15" s="1">
        <v>268.9466666666666</v>
      </c>
    </row>
    <row r="16" spans="1:29" x14ac:dyDescent="0.3">
      <c r="A16" t="s">
        <v>40</v>
      </c>
      <c r="B16" s="1">
        <v>212.60834807162874</v>
      </c>
      <c r="C16" s="1">
        <v>31.009271560579219</v>
      </c>
      <c r="D16" s="1">
        <v>20.294183455182111</v>
      </c>
      <c r="E16" s="1">
        <v>799.78666666666675</v>
      </c>
      <c r="F16" s="1"/>
      <c r="G16" s="1"/>
      <c r="H16" s="1">
        <v>235.73573258003768</v>
      </c>
      <c r="I16" s="1">
        <v>30.268523226616441</v>
      </c>
      <c r="J16" s="1">
        <v>17.549774639045825</v>
      </c>
      <c r="K16" s="1">
        <v>0.18555555555555556</v>
      </c>
      <c r="L16" s="1"/>
      <c r="M16" s="1"/>
      <c r="N16" s="1">
        <v>290.91268115942029</v>
      </c>
      <c r="O16" s="1">
        <v>35.303502415458937</v>
      </c>
      <c r="P16" s="1">
        <v>22.186002415458937</v>
      </c>
      <c r="Q16" s="1">
        <v>108.74888888888889</v>
      </c>
      <c r="R16" s="1"/>
      <c r="S16" s="1"/>
      <c r="T16" s="1">
        <v>166.88208561020039</v>
      </c>
      <c r="U16" s="1">
        <v>29.911675774134793</v>
      </c>
      <c r="V16" s="1">
        <v>21.186511839708565</v>
      </c>
      <c r="W16" s="1">
        <v>441.10555555555561</v>
      </c>
      <c r="X16" s="1"/>
      <c r="Y16" s="1"/>
      <c r="Z16" s="1">
        <v>180.0591425120773</v>
      </c>
      <c r="AA16" s="1">
        <v>28.647391304347828</v>
      </c>
      <c r="AB16" s="1">
        <v>18.985193236714977</v>
      </c>
      <c r="AC16" s="1">
        <v>249.74666666666664</v>
      </c>
    </row>
    <row r="17" spans="1:29" x14ac:dyDescent="0.3">
      <c r="A17" t="s">
        <v>41</v>
      </c>
      <c r="B17" s="1">
        <v>213.99474550656655</v>
      </c>
      <c r="C17" s="1">
        <v>31.033110362552083</v>
      </c>
      <c r="D17" s="1">
        <v>20.274788365729304</v>
      </c>
      <c r="E17" s="1">
        <v>809.33777777777777</v>
      </c>
      <c r="F17" s="1"/>
      <c r="G17" s="1"/>
      <c r="H17" s="1">
        <v>234.49129441305709</v>
      </c>
      <c r="I17" s="1">
        <v>30.039083490269931</v>
      </c>
      <c r="J17" s="1">
        <v>17.369348085373506</v>
      </c>
      <c r="K17" s="1">
        <v>0.28333333333333333</v>
      </c>
      <c r="L17" s="1"/>
      <c r="M17" s="1"/>
      <c r="N17" s="1">
        <v>291.75344202898555</v>
      </c>
      <c r="O17" s="1">
        <v>35.303913043478268</v>
      </c>
      <c r="P17" s="1">
        <v>22.212946859903379</v>
      </c>
      <c r="Q17" s="1">
        <v>105.90444444444445</v>
      </c>
      <c r="R17" s="1"/>
      <c r="S17" s="1"/>
      <c r="T17" s="1">
        <v>171.75367941712204</v>
      </c>
      <c r="U17" s="1">
        <v>30.166047358834241</v>
      </c>
      <c r="V17" s="1">
        <v>21.235728597449913</v>
      </c>
      <c r="W17" s="1">
        <v>450.92333333333335</v>
      </c>
      <c r="X17" s="1"/>
      <c r="Y17" s="1"/>
      <c r="Z17" s="1">
        <v>179.06359903381644</v>
      </c>
      <c r="AA17" s="1">
        <v>28.55196859903381</v>
      </c>
      <c r="AB17" s="1">
        <v>18.932137681159418</v>
      </c>
      <c r="AC17" s="1">
        <v>252.22666666666666</v>
      </c>
    </row>
    <row r="18" spans="1:29" x14ac:dyDescent="0.3">
      <c r="A18" t="s">
        <v>42</v>
      </c>
      <c r="B18" s="1">
        <v>213.14562616962348</v>
      </c>
      <c r="C18" s="1">
        <v>30.961087772704211</v>
      </c>
      <c r="D18" s="1">
        <v>20.221291979605923</v>
      </c>
      <c r="E18" s="1">
        <v>779.00222222222192</v>
      </c>
      <c r="F18" s="1"/>
      <c r="G18" s="1"/>
      <c r="H18" s="1">
        <v>235.75858443188952</v>
      </c>
      <c r="I18" s="1">
        <v>30.200299435028246</v>
      </c>
      <c r="J18" s="1">
        <v>17.419456999372255</v>
      </c>
      <c r="K18" s="1">
        <v>0.10222222222222221</v>
      </c>
      <c r="L18" s="1"/>
      <c r="M18" s="1"/>
      <c r="N18" s="1">
        <v>291.87125603864735</v>
      </c>
      <c r="O18" s="1">
        <v>35.387318840579709</v>
      </c>
      <c r="P18" s="1">
        <v>22.180664251207734</v>
      </c>
      <c r="Q18" s="1">
        <v>103.17444444444443</v>
      </c>
      <c r="R18" s="1"/>
      <c r="S18" s="1"/>
      <c r="T18" s="1">
        <v>167.07168488160298</v>
      </c>
      <c r="U18" s="1">
        <v>29.825910746812383</v>
      </c>
      <c r="V18" s="1">
        <v>21.169708561020041</v>
      </c>
      <c r="W18" s="1">
        <v>442.35555555555561</v>
      </c>
      <c r="X18" s="1"/>
      <c r="Y18" s="1"/>
      <c r="Z18" s="1">
        <v>180.96751207729471</v>
      </c>
      <c r="AA18" s="1">
        <v>28.529987922705313</v>
      </c>
      <c r="AB18" s="1">
        <v>18.807367149758456</v>
      </c>
      <c r="AC18" s="1">
        <v>233.37</v>
      </c>
    </row>
    <row r="19" spans="1:29" x14ac:dyDescent="0.3">
      <c r="A19" t="s">
        <v>43</v>
      </c>
      <c r="B19" s="1">
        <v>214.60503750280716</v>
      </c>
      <c r="C19" s="1">
        <v>30.940322903410941</v>
      </c>
      <c r="D19" s="1">
        <v>20.157102852009885</v>
      </c>
      <c r="E19" s="1">
        <v>785.24666666666667</v>
      </c>
      <c r="F19" s="1"/>
      <c r="G19" s="1"/>
      <c r="H19" s="1">
        <v>234.63812994350286</v>
      </c>
      <c r="I19" s="1">
        <v>29.92708631512869</v>
      </c>
      <c r="J19" s="1">
        <v>17.193616133082234</v>
      </c>
      <c r="K19" s="1">
        <v>0.16111111111111112</v>
      </c>
      <c r="L19" s="1"/>
      <c r="M19" s="1"/>
      <c r="N19" s="1">
        <v>292.65422705314012</v>
      </c>
      <c r="O19" s="1">
        <v>35.344915458937194</v>
      </c>
      <c r="P19" s="1">
        <v>22.156316425120771</v>
      </c>
      <c r="Q19" s="1">
        <v>100.83000000000001</v>
      </c>
      <c r="R19" s="1"/>
      <c r="S19" s="1"/>
      <c r="T19" s="1">
        <v>172.03229508196722</v>
      </c>
      <c r="U19" s="1">
        <v>30.034927140255018</v>
      </c>
      <c r="V19" s="1">
        <v>21.182367941712204</v>
      </c>
      <c r="W19" s="1">
        <v>449.00444444444446</v>
      </c>
      <c r="X19" s="1"/>
      <c r="Y19" s="1"/>
      <c r="Z19" s="1">
        <v>180.12161835748793</v>
      </c>
      <c r="AA19" s="1">
        <v>28.388635265700479</v>
      </c>
      <c r="AB19" s="1">
        <v>18.705495169082123</v>
      </c>
      <c r="AC19" s="1">
        <v>235.25111111111113</v>
      </c>
    </row>
    <row r="52" spans="1:29" x14ac:dyDescent="0.3">
      <c r="A52" t="s">
        <v>10</v>
      </c>
      <c r="B52" t="s">
        <v>0</v>
      </c>
      <c r="C52" t="s">
        <v>1</v>
      </c>
      <c r="D52" t="s">
        <v>2</v>
      </c>
      <c r="E52" t="s">
        <v>3</v>
      </c>
      <c r="F52" t="s">
        <v>9</v>
      </c>
      <c r="G52" t="s">
        <v>6</v>
      </c>
      <c r="H52" t="s">
        <v>0</v>
      </c>
      <c r="I52" t="s">
        <v>1</v>
      </c>
      <c r="J52" t="s">
        <v>2</v>
      </c>
      <c r="K52" t="s">
        <v>3</v>
      </c>
      <c r="M52" t="s">
        <v>7</v>
      </c>
      <c r="N52" t="s">
        <v>0</v>
      </c>
      <c r="O52" t="s">
        <v>1</v>
      </c>
      <c r="P52" t="s">
        <v>2</v>
      </c>
      <c r="Q52" t="s">
        <v>3</v>
      </c>
      <c r="S52" t="s">
        <v>5</v>
      </c>
      <c r="T52" t="s">
        <v>0</v>
      </c>
      <c r="U52" t="s">
        <v>1</v>
      </c>
      <c r="V52" t="s">
        <v>2</v>
      </c>
      <c r="W52" t="s">
        <v>3</v>
      </c>
      <c r="Y52" t="s">
        <v>8</v>
      </c>
      <c r="Z52" t="s">
        <v>0</v>
      </c>
      <c r="AA52" t="s">
        <v>1</v>
      </c>
      <c r="AB52" t="s">
        <v>2</v>
      </c>
      <c r="AC52" t="s">
        <v>3</v>
      </c>
    </row>
    <row r="53" spans="1:29" x14ac:dyDescent="0.3">
      <c r="A53" t="s">
        <v>28</v>
      </c>
      <c r="B53" s="1">
        <v>222.13830645257886</v>
      </c>
      <c r="C53" s="1">
        <v>31.866062235197255</v>
      </c>
      <c r="D53" s="1">
        <v>21.134652803353543</v>
      </c>
      <c r="E53" s="1">
        <v>853.80600000000015</v>
      </c>
      <c r="F53" s="1"/>
      <c r="G53" s="1"/>
      <c r="H53" s="1">
        <v>244.22062570621469</v>
      </c>
      <c r="I53" s="1">
        <v>31.368983898305089</v>
      </c>
      <c r="J53" s="1">
        <v>18.595660169491527</v>
      </c>
      <c r="K53" s="1">
        <v>1.4419999999999997</v>
      </c>
      <c r="L53" s="1"/>
      <c r="M53" s="1"/>
      <c r="N53" s="1">
        <v>289.40943478260863</v>
      </c>
      <c r="O53" s="1">
        <v>35.773978260869562</v>
      </c>
      <c r="P53" s="1">
        <v>22.855402173913046</v>
      </c>
      <c r="Q53" s="1">
        <v>151.13299999999998</v>
      </c>
      <c r="R53" s="1"/>
      <c r="S53" s="1"/>
      <c r="T53" s="1">
        <v>182.23781147540984</v>
      </c>
      <c r="U53" s="1">
        <v>30.79155737704918</v>
      </c>
      <c r="V53" s="1">
        <v>21.938836065573774</v>
      </c>
      <c r="W53" s="1">
        <v>420.13333333333338</v>
      </c>
      <c r="X53" s="1"/>
      <c r="Y53" s="1"/>
      <c r="Z53" s="1">
        <v>195.00591787439612</v>
      </c>
      <c r="AA53" s="1">
        <v>29.364734299516904</v>
      </c>
      <c r="AB53" s="1">
        <v>19.514516908212556</v>
      </c>
      <c r="AC53" s="1">
        <v>260.31</v>
      </c>
    </row>
    <row r="54" spans="1:29" x14ac:dyDescent="0.3">
      <c r="A54" t="s">
        <v>29</v>
      </c>
      <c r="B54" s="1">
        <v>223.27127046186092</v>
      </c>
      <c r="C54" s="1">
        <v>31.68952759937121</v>
      </c>
      <c r="D54" s="1">
        <v>20.886646874766075</v>
      </c>
      <c r="E54" s="1">
        <v>870.88599999999985</v>
      </c>
      <c r="F54" s="1"/>
      <c r="G54" s="1"/>
      <c r="H54" s="1">
        <v>243.4583833333333</v>
      </c>
      <c r="I54" s="1">
        <v>30.962981073446326</v>
      </c>
      <c r="J54" s="1">
        <v>18.187435593220339</v>
      </c>
      <c r="K54" s="1">
        <v>1.4929999999999999</v>
      </c>
      <c r="L54" s="1"/>
      <c r="M54" s="1"/>
      <c r="N54" s="1">
        <v>290.28229347826084</v>
      </c>
      <c r="O54" s="1">
        <v>35.575597826086963</v>
      </c>
      <c r="P54" s="1">
        <v>22.645086956521737</v>
      </c>
      <c r="Q54" s="1">
        <v>144.48999999999998</v>
      </c>
      <c r="R54" s="1"/>
      <c r="S54" s="1"/>
      <c r="T54" s="1">
        <v>186.07276229508199</v>
      </c>
      <c r="U54" s="1">
        <v>30.844344262295085</v>
      </c>
      <c r="V54" s="1">
        <v>21.75989344262295</v>
      </c>
      <c r="W54" s="1">
        <v>435.39555555555557</v>
      </c>
      <c r="X54" s="1"/>
      <c r="Y54" s="1"/>
      <c r="Z54" s="1">
        <v>194.38712560386472</v>
      </c>
      <c r="AA54" s="1">
        <v>29.058067632850239</v>
      </c>
      <c r="AB54" s="1">
        <v>19.24213768115942</v>
      </c>
      <c r="AC54" s="1">
        <v>269.54111111111109</v>
      </c>
    </row>
    <row r="55" spans="1:29" x14ac:dyDescent="0.3">
      <c r="A55" t="s">
        <v>30</v>
      </c>
      <c r="B55" s="1">
        <v>222.46343149187823</v>
      </c>
      <c r="C55" s="1">
        <v>31.632485448012574</v>
      </c>
      <c r="D55" s="1">
        <v>20.856561830975366</v>
      </c>
      <c r="E55" s="1">
        <v>884.62299999999982</v>
      </c>
      <c r="F55" s="1"/>
      <c r="G55" s="1"/>
      <c r="H55" s="1">
        <v>244.1516505649717</v>
      </c>
      <c r="I55" s="1">
        <v>31.144897740112988</v>
      </c>
      <c r="J55" s="1">
        <v>18.23941723163842</v>
      </c>
      <c r="K55" s="1">
        <v>1.2470000000000001</v>
      </c>
      <c r="L55" s="1"/>
      <c r="M55" s="1"/>
      <c r="N55" s="1">
        <v>290.65034782608689</v>
      </c>
      <c r="O55" s="1">
        <v>35.681478260869568</v>
      </c>
      <c r="P55" s="1">
        <v>22.640608695652173</v>
      </c>
      <c r="Q55" s="1">
        <v>146.685</v>
      </c>
      <c r="R55" s="1"/>
      <c r="S55" s="1"/>
      <c r="T55" s="1">
        <v>181.92555737704913</v>
      </c>
      <c r="U55" s="1">
        <v>30.489786885245898</v>
      </c>
      <c r="V55" s="1">
        <v>21.698213114754104</v>
      </c>
      <c r="W55" s="1">
        <v>460.26888888888891</v>
      </c>
      <c r="X55" s="1"/>
      <c r="Y55" s="1"/>
      <c r="Z55" s="1">
        <v>195.60717391304351</v>
      </c>
      <c r="AA55" s="1">
        <v>29.071630434782605</v>
      </c>
      <c r="AB55" s="1">
        <v>19.165966183574881</v>
      </c>
      <c r="AC55" s="1">
        <v>250.17666666666662</v>
      </c>
    </row>
    <row r="56" spans="1:29" x14ac:dyDescent="0.3">
      <c r="A56" t="s">
        <v>31</v>
      </c>
      <c r="B56" s="1">
        <v>223.62939613743544</v>
      </c>
      <c r="C56" s="1">
        <v>31.51186238490904</v>
      </c>
      <c r="D56" s="1">
        <v>20.678167744591658</v>
      </c>
      <c r="E56" s="1">
        <v>895.32299999999998</v>
      </c>
      <c r="F56" s="1"/>
      <c r="G56" s="1"/>
      <c r="H56" s="1">
        <v>243.43358022598872</v>
      </c>
      <c r="I56" s="1">
        <v>30.791815254237285</v>
      </c>
      <c r="J56" s="1">
        <v>17.898087853107345</v>
      </c>
      <c r="K56" s="1">
        <v>1.2619999999999998</v>
      </c>
      <c r="L56" s="1"/>
      <c r="M56" s="1"/>
      <c r="N56" s="1">
        <v>291.4812934782608</v>
      </c>
      <c r="O56" s="1">
        <v>35.539000000000009</v>
      </c>
      <c r="P56" s="1">
        <v>22.504847826086952</v>
      </c>
      <c r="Q56" s="1">
        <v>141.06199999999995</v>
      </c>
      <c r="R56" s="1"/>
      <c r="S56" s="1"/>
      <c r="T56" s="1">
        <v>185.82007377049177</v>
      </c>
      <c r="U56" s="1">
        <v>30.593704918032785</v>
      </c>
      <c r="V56" s="1">
        <v>21.586139344262296</v>
      </c>
      <c r="W56" s="1">
        <v>471.76111111111118</v>
      </c>
      <c r="X56" s="1"/>
      <c r="Y56" s="1"/>
      <c r="Z56" s="1">
        <v>195.05961352657008</v>
      </c>
      <c r="AA56" s="1">
        <v>28.829746376811595</v>
      </c>
      <c r="AB56" s="1">
        <v>18.962983091787439</v>
      </c>
      <c r="AC56" s="1">
        <v>254.86222222222219</v>
      </c>
    </row>
    <row r="57" spans="1:29" x14ac:dyDescent="0.3">
      <c r="A57" t="s">
        <v>32</v>
      </c>
      <c r="B57" s="1">
        <v>222.97373635002614</v>
      </c>
      <c r="C57" s="1">
        <v>31.439075230181906</v>
      </c>
      <c r="D57" s="1">
        <v>20.617975492177557</v>
      </c>
      <c r="E57" s="1">
        <v>894.45300000000009</v>
      </c>
      <c r="F57" s="1"/>
      <c r="G57" s="1"/>
      <c r="H57" s="1">
        <v>244.10263870056497</v>
      </c>
      <c r="I57" s="1">
        <v>30.954261864406771</v>
      </c>
      <c r="J57" s="1">
        <v>17.926957344632768</v>
      </c>
      <c r="K57" s="1">
        <v>0.91199999999999992</v>
      </c>
      <c r="L57" s="1"/>
      <c r="M57" s="1"/>
      <c r="N57" s="1">
        <v>291.75720652173925</v>
      </c>
      <c r="O57" s="1">
        <v>35.649543478260867</v>
      </c>
      <c r="P57" s="1">
        <v>22.489847826086962</v>
      </c>
      <c r="Q57" s="1">
        <v>136.87200000000001</v>
      </c>
      <c r="R57" s="1"/>
      <c r="S57" s="1"/>
      <c r="T57" s="1">
        <v>182.04636885245901</v>
      </c>
      <c r="U57" s="1">
        <v>30.234942622950818</v>
      </c>
      <c r="V57" s="1">
        <v>21.500885245901642</v>
      </c>
      <c r="W57" s="1">
        <v>484.65555555555551</v>
      </c>
      <c r="X57" s="1"/>
      <c r="Y57" s="1"/>
      <c r="Z57" s="1">
        <v>196.4743115942029</v>
      </c>
      <c r="AA57" s="1">
        <v>28.787898550724645</v>
      </c>
      <c r="AB57" s="1">
        <v>18.825144927536233</v>
      </c>
      <c r="AC57" s="1">
        <v>232.78111111111107</v>
      </c>
    </row>
    <row r="58" spans="1:29" x14ac:dyDescent="0.3">
      <c r="A58" t="s">
        <v>33</v>
      </c>
      <c r="B58" s="1">
        <v>224.16472764428471</v>
      </c>
      <c r="C58" s="1">
        <v>31.465554734635834</v>
      </c>
      <c r="D58" s="1">
        <v>20.59436550640018</v>
      </c>
      <c r="E58" s="1">
        <v>897.52799999999991</v>
      </c>
      <c r="F58" s="1"/>
      <c r="G58" s="1"/>
      <c r="H58" s="1">
        <v>243.42826242937849</v>
      </c>
      <c r="I58" s="1">
        <v>30.742988135593226</v>
      </c>
      <c r="J58" s="1">
        <v>17.740022598870059</v>
      </c>
      <c r="K58" s="1">
        <v>0.91799999999999993</v>
      </c>
      <c r="L58" s="1"/>
      <c r="M58" s="1"/>
      <c r="N58" s="1">
        <v>292.51747826086961</v>
      </c>
      <c r="O58" s="1">
        <v>35.657597826086956</v>
      </c>
      <c r="P58" s="1">
        <v>22.510347826086957</v>
      </c>
      <c r="Q58" s="1">
        <v>130.13600000000002</v>
      </c>
      <c r="R58" s="1"/>
      <c r="S58" s="1"/>
      <c r="T58" s="1">
        <v>185.99602459016393</v>
      </c>
      <c r="U58" s="1">
        <v>30.485385245901643</v>
      </c>
      <c r="V58" s="1">
        <v>21.546696721311474</v>
      </c>
      <c r="W58" s="1">
        <v>492.78000000000003</v>
      </c>
      <c r="X58" s="1"/>
      <c r="Y58" s="1"/>
      <c r="Z58" s="1">
        <v>195.99763285024153</v>
      </c>
      <c r="AA58" s="1">
        <v>28.693260869565222</v>
      </c>
      <c r="AB58" s="1">
        <v>18.770120772946864</v>
      </c>
      <c r="AC58" s="1">
        <v>234.67777777777781</v>
      </c>
    </row>
    <row r="59" spans="1:29" x14ac:dyDescent="0.3">
      <c r="A59" t="s">
        <v>34</v>
      </c>
      <c r="B59" s="1">
        <v>223.48400546448087</v>
      </c>
      <c r="C59" s="1">
        <v>31.443055438281306</v>
      </c>
      <c r="D59" s="1">
        <v>20.57801738902613</v>
      </c>
      <c r="E59" s="1">
        <v>873.37699999999984</v>
      </c>
      <c r="F59" s="1"/>
      <c r="G59" s="1"/>
      <c r="H59" s="1">
        <v>244.05386101694916</v>
      </c>
      <c r="I59" s="1">
        <v>30.94440310734463</v>
      </c>
      <c r="J59" s="1">
        <v>17.819164689265541</v>
      </c>
      <c r="K59" s="1">
        <v>0.57800000000000007</v>
      </c>
      <c r="L59" s="1"/>
      <c r="M59" s="1"/>
      <c r="N59" s="1">
        <v>292.86365217391307</v>
      </c>
      <c r="O59" s="1">
        <v>35.823282608695663</v>
      </c>
      <c r="P59" s="1">
        <v>22.550760869565217</v>
      </c>
      <c r="Q59" s="1">
        <v>124.18900000000001</v>
      </c>
      <c r="R59" s="1"/>
      <c r="S59" s="1"/>
      <c r="T59" s="1">
        <v>182.16727049180332</v>
      </c>
      <c r="U59" s="1">
        <v>30.19662295081967</v>
      </c>
      <c r="V59" s="1">
        <v>21.507827868852456</v>
      </c>
      <c r="W59" s="1">
        <v>484.58222222222219</v>
      </c>
      <c r="X59" s="1"/>
      <c r="Y59" s="1"/>
      <c r="Z59" s="1">
        <v>197.34147342995169</v>
      </c>
      <c r="AA59" s="1">
        <v>28.678900966183576</v>
      </c>
      <c r="AB59" s="1">
        <v>18.658599033816422</v>
      </c>
      <c r="AC59" s="1">
        <v>214.79666666666671</v>
      </c>
    </row>
    <row r="60" spans="1:29" x14ac:dyDescent="0.3">
      <c r="A60" t="s">
        <v>35</v>
      </c>
      <c r="B60" s="1">
        <v>224.70002903660452</v>
      </c>
      <c r="C60" s="1">
        <v>31.428461359383199</v>
      </c>
      <c r="D60" s="1">
        <v>20.513088090425928</v>
      </c>
      <c r="E60" s="1">
        <v>870.83899999999994</v>
      </c>
      <c r="F60" s="1"/>
      <c r="G60" s="1"/>
      <c r="H60" s="1">
        <v>243.42285988700559</v>
      </c>
      <c r="I60" s="1">
        <v>30.688031638418078</v>
      </c>
      <c r="J60" s="1">
        <v>17.58792824858757</v>
      </c>
      <c r="K60" s="1">
        <v>0.56399999999999983</v>
      </c>
      <c r="L60" s="1"/>
      <c r="M60" s="1"/>
      <c r="N60" s="1">
        <v>293.55366304347825</v>
      </c>
      <c r="O60" s="1">
        <v>35.797054347826077</v>
      </c>
      <c r="P60" s="1">
        <v>22.528217391304349</v>
      </c>
      <c r="Q60" s="1">
        <v>116.43500000000002</v>
      </c>
      <c r="R60" s="1"/>
      <c r="S60" s="1"/>
      <c r="T60" s="1">
        <v>186.17197540983608</v>
      </c>
      <c r="U60" s="1">
        <v>30.405680327868843</v>
      </c>
      <c r="V60" s="1">
        <v>21.519565573770496</v>
      </c>
      <c r="W60" s="1">
        <v>489.90444444444438</v>
      </c>
      <c r="X60" s="1"/>
      <c r="Y60" s="1"/>
      <c r="Z60" s="1">
        <v>196.93550724637683</v>
      </c>
      <c r="AA60" s="1">
        <v>28.538309178743962</v>
      </c>
      <c r="AB60" s="1">
        <v>18.554444444444446</v>
      </c>
      <c r="AC60" s="1">
        <v>215.34888888888892</v>
      </c>
    </row>
    <row r="61" spans="1:29" x14ac:dyDescent="0.3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3">
      <c r="A62" t="s">
        <v>36</v>
      </c>
      <c r="B62" s="1">
        <v>214.03265085710009</v>
      </c>
      <c r="C62" s="1">
        <v>32.196056149412378</v>
      </c>
      <c r="D62" s="1">
        <v>21.667107612845268</v>
      </c>
      <c r="E62" s="1">
        <v>810.94899999999996</v>
      </c>
      <c r="F62" s="1"/>
      <c r="G62" s="1"/>
      <c r="H62" s="1">
        <v>238.52565225988701</v>
      </c>
      <c r="I62" s="1">
        <v>31.605763559322032</v>
      </c>
      <c r="J62" s="1">
        <v>19.100177966101697</v>
      </c>
      <c r="K62" s="1">
        <v>0.33899999999999997</v>
      </c>
      <c r="L62" s="1"/>
      <c r="M62" s="1"/>
      <c r="N62" s="1">
        <v>288.20896739130433</v>
      </c>
      <c r="O62" s="1">
        <v>36.191467391304343</v>
      </c>
      <c r="P62" s="1">
        <v>23.515630434782612</v>
      </c>
      <c r="Q62" s="1">
        <v>118.684</v>
      </c>
      <c r="R62" s="1"/>
      <c r="S62" s="1"/>
      <c r="T62" s="1">
        <v>167.89322950819673</v>
      </c>
      <c r="U62" s="1">
        <v>31.157672131147535</v>
      </c>
      <c r="V62" s="1">
        <v>22.451868852459018</v>
      </c>
      <c r="W62" s="1">
        <v>381.84222222222218</v>
      </c>
      <c r="X62" s="1"/>
      <c r="Y62" s="1"/>
      <c r="Z62" s="1">
        <v>179.90294685990338</v>
      </c>
      <c r="AA62" s="1">
        <v>29.247971014492748</v>
      </c>
      <c r="AB62" s="1">
        <v>19.711739130434783</v>
      </c>
      <c r="AC62" s="1">
        <v>266.50555555555553</v>
      </c>
    </row>
    <row r="63" spans="1:29" x14ac:dyDescent="0.3">
      <c r="A63" t="s">
        <v>37</v>
      </c>
      <c r="B63" s="1">
        <v>215.10540125757922</v>
      </c>
      <c r="C63" s="1">
        <v>32.010465693539935</v>
      </c>
      <c r="D63" s="1">
        <v>21.423270843626018</v>
      </c>
      <c r="E63" s="1">
        <v>827.54299999999989</v>
      </c>
      <c r="F63" s="1"/>
      <c r="G63" s="1"/>
      <c r="H63" s="1">
        <v>237.394554519774</v>
      </c>
      <c r="I63" s="1">
        <v>31.176566666666673</v>
      </c>
      <c r="J63" s="1">
        <v>18.69644632768361</v>
      </c>
      <c r="K63" s="1">
        <v>0.41299999999999992</v>
      </c>
      <c r="L63" s="1"/>
      <c r="M63" s="1"/>
      <c r="N63" s="1">
        <v>289.06465217391303</v>
      </c>
      <c r="O63" s="1">
        <v>35.970065217391301</v>
      </c>
      <c r="P63" s="1">
        <v>23.30986956521739</v>
      </c>
      <c r="Q63" s="1">
        <v>113.91900000000001</v>
      </c>
      <c r="R63" s="1"/>
      <c r="S63" s="1"/>
      <c r="T63" s="1">
        <v>172.1453606557377</v>
      </c>
      <c r="U63" s="1">
        <v>31.214008196721316</v>
      </c>
      <c r="V63" s="1">
        <v>22.282631147540982</v>
      </c>
      <c r="W63" s="1">
        <v>398.37111111111113</v>
      </c>
      <c r="X63" s="1"/>
      <c r="Y63" s="1"/>
      <c r="Z63" s="1">
        <v>178.6474879227053</v>
      </c>
      <c r="AA63" s="1">
        <v>28.944432367149759</v>
      </c>
      <c r="AB63" s="1">
        <v>19.440289855072468</v>
      </c>
      <c r="AC63" s="1">
        <v>274.69888888888897</v>
      </c>
    </row>
    <row r="64" spans="1:29" x14ac:dyDescent="0.3">
      <c r="A64" t="s">
        <v>38</v>
      </c>
      <c r="B64" s="1">
        <v>214.34055271352651</v>
      </c>
      <c r="C64" s="1">
        <v>31.930262631933505</v>
      </c>
      <c r="D64" s="1">
        <v>21.369046373231527</v>
      </c>
      <c r="E64" s="1">
        <v>841.34400000000005</v>
      </c>
      <c r="F64" s="1"/>
      <c r="G64" s="1"/>
      <c r="H64" s="1">
        <v>238.39528192090393</v>
      </c>
      <c r="I64" s="1">
        <v>31.336171186440673</v>
      </c>
      <c r="J64" s="1">
        <v>18.720872033898303</v>
      </c>
      <c r="K64" s="1">
        <v>0.26500000000000001</v>
      </c>
      <c r="L64" s="1"/>
      <c r="M64" s="1"/>
      <c r="N64" s="1">
        <v>289.27100000000002</v>
      </c>
      <c r="O64" s="1">
        <v>36.049043478260863</v>
      </c>
      <c r="P64" s="1">
        <v>23.26629347826087</v>
      </c>
      <c r="Q64" s="1">
        <v>114.776</v>
      </c>
      <c r="R64" s="1"/>
      <c r="S64" s="1"/>
      <c r="T64" s="1">
        <v>167.8178934426229</v>
      </c>
      <c r="U64" s="1">
        <v>30.831631147540985</v>
      </c>
      <c r="V64" s="1">
        <v>22.19722131147541</v>
      </c>
      <c r="W64" s="1">
        <v>419.86111111111109</v>
      </c>
      <c r="X64" s="1"/>
      <c r="Y64" s="1"/>
      <c r="Z64" s="1">
        <v>180.55760869565219</v>
      </c>
      <c r="AA64" s="1">
        <v>28.950567632850248</v>
      </c>
      <c r="AB64" s="1">
        <v>19.359214975845411</v>
      </c>
      <c r="AC64" s="1">
        <v>260.89777777777778</v>
      </c>
    </row>
    <row r="65" spans="1:29" x14ac:dyDescent="0.3">
      <c r="A65" t="s">
        <v>39</v>
      </c>
      <c r="B65" s="1">
        <v>215.51355731716438</v>
      </c>
      <c r="C65" s="1">
        <v>31.799259106220525</v>
      </c>
      <c r="D65" s="1">
        <v>21.193435384385062</v>
      </c>
      <c r="E65" s="1">
        <v>852.34499999999991</v>
      </c>
      <c r="F65" s="1"/>
      <c r="G65" s="1"/>
      <c r="H65" s="1">
        <v>237.34822005649715</v>
      </c>
      <c r="I65" s="1">
        <v>30.96050141242938</v>
      </c>
      <c r="J65" s="1">
        <v>18.383489830508474</v>
      </c>
      <c r="K65" s="1">
        <v>0.29799999999999999</v>
      </c>
      <c r="L65" s="1"/>
      <c r="M65" s="1"/>
      <c r="N65" s="1">
        <v>290.07364130434792</v>
      </c>
      <c r="O65" s="1">
        <v>35.879315217391294</v>
      </c>
      <c r="P65" s="1">
        <v>23.131130434782609</v>
      </c>
      <c r="Q65" s="1">
        <v>111.16800000000001</v>
      </c>
      <c r="R65" s="1"/>
      <c r="S65" s="1"/>
      <c r="T65" s="1">
        <v>172.23638524590166</v>
      </c>
      <c r="U65" s="1">
        <v>30.937442622950819</v>
      </c>
      <c r="V65" s="1">
        <v>22.094598360655738</v>
      </c>
      <c r="W65" s="1">
        <v>433.37222222222221</v>
      </c>
      <c r="X65" s="1"/>
      <c r="Y65" s="1"/>
      <c r="Z65" s="1">
        <v>179.46196859903384</v>
      </c>
      <c r="AA65" s="1">
        <v>28.711437198067628</v>
      </c>
      <c r="AB65" s="1">
        <v>19.157548309178747</v>
      </c>
      <c r="AC65" s="1">
        <v>264.97111111111104</v>
      </c>
    </row>
    <row r="66" spans="1:29" x14ac:dyDescent="0.3">
      <c r="A66" t="s">
        <v>40</v>
      </c>
      <c r="B66" s="1">
        <v>214.80770166180099</v>
      </c>
      <c r="C66" s="1">
        <v>31.691281600419195</v>
      </c>
      <c r="D66" s="1">
        <v>21.101726072310804</v>
      </c>
      <c r="E66" s="1">
        <v>860.40800000000002</v>
      </c>
      <c r="F66" s="1"/>
      <c r="G66" s="1"/>
      <c r="H66" s="1">
        <v>238.41906214689266</v>
      </c>
      <c r="I66" s="1">
        <v>31.088051412429376</v>
      </c>
      <c r="J66" s="1">
        <v>18.378325988700563</v>
      </c>
      <c r="K66" s="1">
        <v>0.159</v>
      </c>
      <c r="L66" s="1"/>
      <c r="M66" s="1"/>
      <c r="N66" s="1">
        <v>290.29744565217391</v>
      </c>
      <c r="O66" s="1">
        <v>35.939347826086951</v>
      </c>
      <c r="P66" s="1">
        <v>23.06244565217391</v>
      </c>
      <c r="Q66" s="1">
        <v>116.97999999999999</v>
      </c>
      <c r="R66" s="1"/>
      <c r="S66" s="1"/>
      <c r="T66" s="1">
        <v>167.91610655737705</v>
      </c>
      <c r="U66" s="1">
        <v>30.541565573770487</v>
      </c>
      <c r="V66" s="1">
        <v>21.977704918032789</v>
      </c>
      <c r="W66" s="1">
        <v>446.39000000000004</v>
      </c>
      <c r="X66" s="1"/>
      <c r="Y66" s="1"/>
      <c r="Z66" s="1">
        <v>181.57095410628017</v>
      </c>
      <c r="AA66" s="1">
        <v>28.659033816425122</v>
      </c>
      <c r="AB66" s="1">
        <v>19.008973429951691</v>
      </c>
      <c r="AC66" s="1">
        <v>247.1188888888889</v>
      </c>
    </row>
    <row r="67" spans="1:29" x14ac:dyDescent="0.3">
      <c r="A67" t="s">
        <v>41</v>
      </c>
      <c r="B67" s="1">
        <v>216.06504989145893</v>
      </c>
      <c r="C67" s="1">
        <v>31.706376248222178</v>
      </c>
      <c r="D67" s="1">
        <v>21.079102178306762</v>
      </c>
      <c r="E67" s="1">
        <v>864.0630000000001</v>
      </c>
      <c r="F67" s="1"/>
      <c r="G67" s="1"/>
      <c r="H67" s="1">
        <v>237.45015960451983</v>
      </c>
      <c r="I67" s="1">
        <v>30.857617231638415</v>
      </c>
      <c r="J67" s="1">
        <v>18.195515254237286</v>
      </c>
      <c r="K67" s="1">
        <v>0.19399999999999998</v>
      </c>
      <c r="L67" s="1"/>
      <c r="M67" s="1"/>
      <c r="N67" s="1">
        <v>291.03882608695648</v>
      </c>
      <c r="O67" s="1">
        <v>35.915750000000003</v>
      </c>
      <c r="P67" s="1">
        <v>23.078413043478257</v>
      </c>
      <c r="Q67" s="1">
        <v>112.58400000000002</v>
      </c>
      <c r="R67" s="1"/>
      <c r="S67" s="1"/>
      <c r="T67" s="1">
        <v>172.46560655737707</v>
      </c>
      <c r="U67" s="1">
        <v>30.792024590163937</v>
      </c>
      <c r="V67" s="1">
        <v>22.031672131147538</v>
      </c>
      <c r="W67" s="1">
        <v>456.26666666666665</v>
      </c>
      <c r="X67" s="1"/>
      <c r="Y67" s="1"/>
      <c r="Z67" s="1">
        <v>180.62887681159424</v>
      </c>
      <c r="AA67" s="1">
        <v>28.567053140096618</v>
      </c>
      <c r="AB67" s="1">
        <v>18.955700483091785</v>
      </c>
      <c r="AC67" s="1">
        <v>249.12111111111108</v>
      </c>
    </row>
    <row r="68" spans="1:29" x14ac:dyDescent="0.3">
      <c r="A68" t="s">
        <v>42</v>
      </c>
      <c r="B68" s="1">
        <v>215.27505319260422</v>
      </c>
      <c r="C68" s="1">
        <v>31.649767729620482</v>
      </c>
      <c r="D68" s="1">
        <v>21.033321363874546</v>
      </c>
      <c r="E68" s="1">
        <v>848.46499999999992</v>
      </c>
      <c r="F68" s="1"/>
      <c r="G68" s="1"/>
      <c r="H68" s="1">
        <v>238.44287598870056</v>
      </c>
      <c r="I68" s="1">
        <v>31.020944632768362</v>
      </c>
      <c r="J68" s="1">
        <v>18.240659604519774</v>
      </c>
      <c r="K68" s="1">
        <v>8.8000000000000009E-2</v>
      </c>
      <c r="L68" s="1"/>
      <c r="M68" s="1"/>
      <c r="N68" s="1">
        <v>291.32416304347822</v>
      </c>
      <c r="O68" s="1">
        <v>36.035347826086962</v>
      </c>
      <c r="P68" s="1">
        <v>23.070510869565219</v>
      </c>
      <c r="Q68" s="1">
        <v>115.63199999999999</v>
      </c>
      <c r="R68" s="1"/>
      <c r="S68" s="1"/>
      <c r="T68" s="1">
        <v>168.01477049180326</v>
      </c>
      <c r="U68" s="1">
        <v>30.468040983606564</v>
      </c>
      <c r="V68" s="1">
        <v>21.962631147540982</v>
      </c>
      <c r="W68" s="1">
        <v>448.63</v>
      </c>
      <c r="X68" s="1"/>
      <c r="Y68" s="1"/>
      <c r="Z68" s="1">
        <v>182.58415458937199</v>
      </c>
      <c r="AA68" s="1">
        <v>28.542185990338169</v>
      </c>
      <c r="AB68" s="1">
        <v>18.832838164251211</v>
      </c>
      <c r="AC68" s="1">
        <v>231.67888888888885</v>
      </c>
    </row>
    <row r="69" spans="1:29" x14ac:dyDescent="0.3">
      <c r="A69" t="s">
        <v>43</v>
      </c>
      <c r="B69" s="1">
        <v>216.61642466501985</v>
      </c>
      <c r="C69" s="1">
        <v>31.62283625271353</v>
      </c>
      <c r="D69" s="1">
        <v>20.967981083913465</v>
      </c>
      <c r="E69" s="1">
        <v>846.94100000000003</v>
      </c>
      <c r="F69" s="1"/>
      <c r="G69" s="1"/>
      <c r="H69" s="1">
        <v>237.55210028248584</v>
      </c>
      <c r="I69" s="1">
        <v>30.748686723163836</v>
      </c>
      <c r="J69" s="1">
        <v>18.014768361581922</v>
      </c>
      <c r="K69" s="1">
        <v>0.11200000000000002</v>
      </c>
      <c r="L69" s="1"/>
      <c r="M69" s="1"/>
      <c r="N69" s="1">
        <v>292.00366304347824</v>
      </c>
      <c r="O69" s="1">
        <v>35.97325</v>
      </c>
      <c r="P69" s="1">
        <v>23.038608695652172</v>
      </c>
      <c r="Q69" s="1">
        <v>110.77600000000002</v>
      </c>
      <c r="R69" s="1"/>
      <c r="S69" s="1"/>
      <c r="T69" s="1">
        <v>172.6946393442623</v>
      </c>
      <c r="U69" s="1">
        <v>30.675262295081961</v>
      </c>
      <c r="V69" s="1">
        <v>21.98162295081967</v>
      </c>
      <c r="W69" s="1">
        <v>455.4644444444445</v>
      </c>
      <c r="X69" s="1"/>
      <c r="Y69" s="1"/>
      <c r="Z69" s="1">
        <v>181.79611111111114</v>
      </c>
      <c r="AA69" s="1">
        <v>28.403900966183571</v>
      </c>
      <c r="AB69" s="1">
        <v>18.731074879227052</v>
      </c>
      <c r="AC69" s="1">
        <v>232.95888888888891</v>
      </c>
    </row>
    <row r="103" spans="1:29" x14ac:dyDescent="0.3">
      <c r="A103" t="s">
        <v>11</v>
      </c>
      <c r="B103" t="s">
        <v>0</v>
      </c>
      <c r="C103" t="s">
        <v>1</v>
      </c>
      <c r="D103" t="s">
        <v>2</v>
      </c>
      <c r="E103" t="s">
        <v>3</v>
      </c>
      <c r="F103" t="s">
        <v>9</v>
      </c>
      <c r="G103" t="s">
        <v>6</v>
      </c>
      <c r="H103" t="s">
        <v>0</v>
      </c>
      <c r="I103" t="s">
        <v>1</v>
      </c>
      <c r="J103" t="s">
        <v>2</v>
      </c>
      <c r="K103" t="s">
        <v>3</v>
      </c>
      <c r="M103" t="s">
        <v>7</v>
      </c>
      <c r="N103" t="s">
        <v>0</v>
      </c>
      <c r="O103" t="s">
        <v>1</v>
      </c>
      <c r="P103" t="s">
        <v>2</v>
      </c>
      <c r="Q103" t="s">
        <v>3</v>
      </c>
      <c r="S103" t="s">
        <v>5</v>
      </c>
      <c r="T103" t="s">
        <v>0</v>
      </c>
      <c r="U103" t="s">
        <v>1</v>
      </c>
      <c r="V103" t="s">
        <v>2</v>
      </c>
      <c r="W103" t="s">
        <v>3</v>
      </c>
      <c r="Y103" t="s">
        <v>8</v>
      </c>
      <c r="Z103" t="s">
        <v>0</v>
      </c>
      <c r="AA103" t="s">
        <v>1</v>
      </c>
      <c r="AB103" t="s">
        <v>2</v>
      </c>
      <c r="AC103" t="s">
        <v>3</v>
      </c>
    </row>
    <row r="104" spans="1:29" x14ac:dyDescent="0.3">
      <c r="A104" t="s">
        <v>28</v>
      </c>
      <c r="B104" s="1">
        <v>223.49858963245751</v>
      </c>
      <c r="C104" s="1">
        <v>32.176486548394337</v>
      </c>
      <c r="D104" s="1">
        <v>21.38375014596901</v>
      </c>
      <c r="E104" s="1">
        <v>893.6389999999999</v>
      </c>
      <c r="F104" s="1"/>
      <c r="G104" s="1"/>
      <c r="H104" s="1">
        <v>246.04920988700565</v>
      </c>
      <c r="I104" s="1">
        <v>31.717455084745758</v>
      </c>
      <c r="J104" s="1">
        <v>18.769816949152538</v>
      </c>
      <c r="K104" s="1">
        <v>0.45800000000000002</v>
      </c>
      <c r="L104" s="1"/>
      <c r="M104" s="1"/>
      <c r="N104" s="1">
        <v>291.3287717391305</v>
      </c>
      <c r="O104" s="1">
        <v>36.125478260869563</v>
      </c>
      <c r="P104" s="1">
        <v>23.202500000000001</v>
      </c>
      <c r="Q104" s="1">
        <v>150.73999999999998</v>
      </c>
      <c r="R104" s="1"/>
      <c r="S104" s="1"/>
      <c r="T104" s="1">
        <v>181.11578688524588</v>
      </c>
      <c r="U104" s="1">
        <v>31.033778688524592</v>
      </c>
      <c r="V104" s="1">
        <v>22.180418032786882</v>
      </c>
      <c r="W104" s="1">
        <v>416.33555555555563</v>
      </c>
      <c r="X104" s="1"/>
      <c r="Y104" s="1"/>
      <c r="Z104" s="1">
        <v>195.70897342995167</v>
      </c>
      <c r="AA104" s="1">
        <v>29.38414251207729</v>
      </c>
      <c r="AB104" s="1">
        <v>19.552971014492751</v>
      </c>
      <c r="AC104" s="1">
        <v>254.15555555555557</v>
      </c>
    </row>
    <row r="105" spans="1:29" x14ac:dyDescent="0.3">
      <c r="A105" t="s">
        <v>29</v>
      </c>
      <c r="B105" s="1">
        <v>224.74684196421896</v>
      </c>
      <c r="C105" s="1">
        <v>31.999907193652223</v>
      </c>
      <c r="D105" s="1">
        <v>21.141548813533948</v>
      </c>
      <c r="E105" s="1">
        <v>906.2249999999998</v>
      </c>
      <c r="F105" s="1"/>
      <c r="G105" s="1"/>
      <c r="H105" s="1">
        <v>245.21330932203392</v>
      </c>
      <c r="I105" s="1">
        <v>31.320016384180793</v>
      </c>
      <c r="J105" s="1">
        <v>18.368696610169494</v>
      </c>
      <c r="K105" s="1">
        <v>0.5079999999999999</v>
      </c>
      <c r="L105" s="1"/>
      <c r="M105" s="1"/>
      <c r="N105" s="1">
        <v>292.16386956521734</v>
      </c>
      <c r="O105" s="1">
        <v>35.916891304347821</v>
      </c>
      <c r="P105" s="1">
        <v>22.999065217391312</v>
      </c>
      <c r="Q105" s="1">
        <v>142.25700000000001</v>
      </c>
      <c r="R105" s="1"/>
      <c r="S105" s="1"/>
      <c r="T105" s="1">
        <v>185.31468852459017</v>
      </c>
      <c r="U105" s="1">
        <v>31.090040983606553</v>
      </c>
      <c r="V105" s="1">
        <v>22.008114754098361</v>
      </c>
      <c r="W105" s="1">
        <v>430.35666666666668</v>
      </c>
      <c r="X105" s="1"/>
      <c r="Y105" s="1"/>
      <c r="Z105" s="1">
        <v>194.99963768115938</v>
      </c>
      <c r="AA105" s="1">
        <v>29.078466183574879</v>
      </c>
      <c r="AB105" s="1">
        <v>19.281521739130437</v>
      </c>
      <c r="AC105" s="1">
        <v>262.83222222222219</v>
      </c>
    </row>
    <row r="106" spans="1:29" x14ac:dyDescent="0.3">
      <c r="A106" t="s">
        <v>30</v>
      </c>
      <c r="B106" s="1">
        <v>223.87497147241561</v>
      </c>
      <c r="C106" s="1">
        <v>31.936246837338114</v>
      </c>
      <c r="D106" s="1">
        <v>21.106238333707608</v>
      </c>
      <c r="E106" s="1">
        <v>925.90799999999979</v>
      </c>
      <c r="F106" s="1"/>
      <c r="G106" s="1"/>
      <c r="H106" s="1">
        <v>245.87343898305085</v>
      </c>
      <c r="I106" s="1">
        <v>31.478573163841805</v>
      </c>
      <c r="J106" s="1">
        <v>18.423971468926549</v>
      </c>
      <c r="K106" s="1">
        <v>0.32399999999999995</v>
      </c>
      <c r="L106" s="1"/>
      <c r="M106" s="1"/>
      <c r="N106" s="1">
        <v>292.61996739130433</v>
      </c>
      <c r="O106" s="1">
        <v>36.023000000000003</v>
      </c>
      <c r="P106" s="1">
        <v>22.979271739130432</v>
      </c>
      <c r="Q106" s="1">
        <v>144.23400000000001</v>
      </c>
      <c r="R106" s="1"/>
      <c r="S106" s="1"/>
      <c r="T106" s="1">
        <v>180.97714754098359</v>
      </c>
      <c r="U106" s="1">
        <v>30.729114754098362</v>
      </c>
      <c r="V106" s="1">
        <v>21.94340983606557</v>
      </c>
      <c r="W106" s="1">
        <v>457.08555555555552</v>
      </c>
      <c r="X106" s="1"/>
      <c r="Y106" s="1"/>
      <c r="Z106" s="1">
        <v>196.32822463768116</v>
      </c>
      <c r="AA106" s="1">
        <v>29.087499999999995</v>
      </c>
      <c r="AB106" s="1">
        <v>19.19850241545894</v>
      </c>
      <c r="AC106" s="1">
        <v>244.76666666666668</v>
      </c>
    </row>
    <row r="107" spans="1:29" x14ac:dyDescent="0.3">
      <c r="A107" t="s">
        <v>31</v>
      </c>
      <c r="B107" s="1">
        <v>225.16137582154352</v>
      </c>
      <c r="C107" s="1">
        <v>31.816995830526242</v>
      </c>
      <c r="D107" s="1">
        <v>20.934078052249419</v>
      </c>
      <c r="E107" s="1">
        <v>931.79500000000007</v>
      </c>
      <c r="F107" s="1"/>
      <c r="G107" s="1"/>
      <c r="H107" s="1">
        <v>245.07430141242941</v>
      </c>
      <c r="I107" s="1">
        <v>31.136245197740113</v>
      </c>
      <c r="J107" s="1">
        <v>18.090754802259887</v>
      </c>
      <c r="K107" s="1">
        <v>0.36799999999999999</v>
      </c>
      <c r="L107" s="1"/>
      <c r="M107" s="1"/>
      <c r="N107" s="1">
        <v>293.39925000000005</v>
      </c>
      <c r="O107" s="1">
        <v>35.87172826086956</v>
      </c>
      <c r="P107" s="1">
        <v>22.850760869565214</v>
      </c>
      <c r="Q107" s="1">
        <v>136.94400000000002</v>
      </c>
      <c r="R107" s="1"/>
      <c r="S107" s="1"/>
      <c r="T107" s="1">
        <v>185.25984426229508</v>
      </c>
      <c r="U107" s="1">
        <v>30.837524590163934</v>
      </c>
      <c r="V107" s="1">
        <v>21.839188524590163</v>
      </c>
      <c r="W107" s="1">
        <v>467.26888888888891</v>
      </c>
      <c r="X107" s="1"/>
      <c r="Y107" s="1"/>
      <c r="Z107" s="1">
        <v>195.68193236714973</v>
      </c>
      <c r="AA107" s="1">
        <v>28.846751207729469</v>
      </c>
      <c r="AB107" s="1">
        <v>18.995881642512078</v>
      </c>
      <c r="AC107" s="1">
        <v>248.89111111111112</v>
      </c>
    </row>
    <row r="108" spans="1:29" x14ac:dyDescent="0.3">
      <c r="A108" t="s">
        <v>32</v>
      </c>
      <c r="B108" s="1">
        <v>224.42959760461113</v>
      </c>
      <c r="C108" s="1">
        <v>31.724633655213715</v>
      </c>
      <c r="D108" s="1">
        <v>20.864623452354216</v>
      </c>
      <c r="E108" s="1">
        <v>931.67499999999984</v>
      </c>
      <c r="F108" s="1"/>
      <c r="G108" s="1"/>
      <c r="H108" s="1">
        <v>245.84498050847461</v>
      </c>
      <c r="I108" s="1">
        <v>31.255808757062152</v>
      </c>
      <c r="J108" s="1">
        <v>18.118088418079093</v>
      </c>
      <c r="K108" s="1">
        <v>0.23300000000000001</v>
      </c>
      <c r="L108" s="1"/>
      <c r="M108" s="1"/>
      <c r="N108" s="1">
        <v>293.7014456521739</v>
      </c>
      <c r="O108" s="1">
        <v>35.957500000000003</v>
      </c>
      <c r="P108" s="1">
        <v>22.805847826086957</v>
      </c>
      <c r="Q108" s="1">
        <v>135.67099999999999</v>
      </c>
      <c r="R108" s="1"/>
      <c r="S108" s="1"/>
      <c r="T108" s="1">
        <v>181.30995901639346</v>
      </c>
      <c r="U108" s="1">
        <v>30.467409836065571</v>
      </c>
      <c r="V108" s="1">
        <v>21.747475409836063</v>
      </c>
      <c r="W108" s="1">
        <v>480.73555555555555</v>
      </c>
      <c r="X108" s="1"/>
      <c r="Y108" s="1"/>
      <c r="Z108" s="1">
        <v>197.21297101449275</v>
      </c>
      <c r="AA108" s="1">
        <v>28.800640096618363</v>
      </c>
      <c r="AB108" s="1">
        <v>18.851449275362324</v>
      </c>
      <c r="AC108" s="1">
        <v>228.63222222222217</v>
      </c>
    </row>
    <row r="109" spans="1:29" x14ac:dyDescent="0.3">
      <c r="A109" t="s">
        <v>33</v>
      </c>
      <c r="B109" s="1">
        <v>225.74415710008242</v>
      </c>
      <c r="C109" s="1">
        <v>31.753691114604386</v>
      </c>
      <c r="D109" s="1">
        <v>20.846566838835233</v>
      </c>
      <c r="E109" s="1">
        <v>932.76999999999987</v>
      </c>
      <c r="F109" s="1"/>
      <c r="G109" s="1"/>
      <c r="H109" s="1">
        <v>245.0917581920904</v>
      </c>
      <c r="I109" s="1">
        <v>31.056844350282482</v>
      </c>
      <c r="J109" s="1">
        <v>17.938829661016946</v>
      </c>
      <c r="K109" s="1">
        <v>0.27900000000000003</v>
      </c>
      <c r="L109" s="1"/>
      <c r="M109" s="1"/>
      <c r="N109" s="1">
        <v>294.39458695652172</v>
      </c>
      <c r="O109" s="1">
        <v>35.958380434782605</v>
      </c>
      <c r="P109" s="1">
        <v>22.832043478260868</v>
      </c>
      <c r="Q109" s="1">
        <v>129.50299999999999</v>
      </c>
      <c r="R109" s="1"/>
      <c r="S109" s="1"/>
      <c r="T109" s="1">
        <v>185.66396721311474</v>
      </c>
      <c r="U109" s="1">
        <v>30.723590163934421</v>
      </c>
      <c r="V109" s="1">
        <v>21.80110655737705</v>
      </c>
      <c r="W109" s="1">
        <v>487.65333333333342</v>
      </c>
      <c r="X109" s="1"/>
      <c r="Y109" s="1"/>
      <c r="Z109" s="1">
        <v>196.62969806763283</v>
      </c>
      <c r="AA109" s="1">
        <v>28.707125603864736</v>
      </c>
      <c r="AB109" s="1">
        <v>18.796328502415459</v>
      </c>
      <c r="AC109" s="1">
        <v>229.82555555555558</v>
      </c>
    </row>
    <row r="110" spans="1:29" x14ac:dyDescent="0.3">
      <c r="A110" t="s">
        <v>34</v>
      </c>
      <c r="B110" s="1">
        <v>224.98423747286466</v>
      </c>
      <c r="C110" s="1">
        <v>31.710329620480575</v>
      </c>
      <c r="D110" s="1">
        <v>20.821743947900295</v>
      </c>
      <c r="E110" s="1">
        <v>906.94600000000014</v>
      </c>
      <c r="F110" s="1"/>
      <c r="G110" s="1"/>
      <c r="H110" s="1">
        <v>245.81692909604516</v>
      </c>
      <c r="I110" s="1">
        <v>31.213132203389836</v>
      </c>
      <c r="J110" s="1">
        <v>18.017498587570621</v>
      </c>
      <c r="K110" s="1">
        <v>0.151</v>
      </c>
      <c r="L110" s="1"/>
      <c r="M110" s="1"/>
      <c r="N110" s="1">
        <v>294.7829565217391</v>
      </c>
      <c r="O110" s="1">
        <v>36.09760869565217</v>
      </c>
      <c r="P110" s="1">
        <v>22.843858695652177</v>
      </c>
      <c r="Q110" s="1">
        <v>124.21699999999998</v>
      </c>
      <c r="R110" s="1"/>
      <c r="S110" s="1"/>
      <c r="T110" s="1">
        <v>181.64253278688517</v>
      </c>
      <c r="U110" s="1">
        <v>30.422483606557382</v>
      </c>
      <c r="V110" s="1">
        <v>21.755540983606558</v>
      </c>
      <c r="W110" s="1">
        <v>480.10222222222211</v>
      </c>
      <c r="X110" s="1"/>
      <c r="Y110" s="1"/>
      <c r="Z110" s="1">
        <v>198.09772946859903</v>
      </c>
      <c r="AA110" s="1">
        <v>28.688719806763288</v>
      </c>
      <c r="AB110" s="1">
        <v>18.678623188405794</v>
      </c>
      <c r="AC110" s="1">
        <v>211.74777777777783</v>
      </c>
    </row>
    <row r="111" spans="1:29" x14ac:dyDescent="0.3">
      <c r="A111" t="s">
        <v>35</v>
      </c>
      <c r="B111" s="1">
        <v>226.3268479676623</v>
      </c>
      <c r="C111" s="1">
        <v>31.699707455647872</v>
      </c>
      <c r="D111" s="1">
        <v>20.761842600494049</v>
      </c>
      <c r="E111" s="1">
        <v>905.23599999999988</v>
      </c>
      <c r="F111" s="1"/>
      <c r="G111" s="1"/>
      <c r="H111" s="1">
        <v>245.109318079096</v>
      </c>
      <c r="I111" s="1">
        <v>30.97120197740113</v>
      </c>
      <c r="J111" s="1">
        <v>17.793600000000005</v>
      </c>
      <c r="K111" s="1">
        <v>0.17599999999999999</v>
      </c>
      <c r="L111" s="1"/>
      <c r="M111" s="1"/>
      <c r="N111" s="1">
        <v>295.3896195652174</v>
      </c>
      <c r="O111" s="1">
        <v>36.066010869565211</v>
      </c>
      <c r="P111" s="1">
        <v>22.825706521739129</v>
      </c>
      <c r="Q111" s="1">
        <v>119.20699999999999</v>
      </c>
      <c r="R111" s="1"/>
      <c r="S111" s="1"/>
      <c r="T111" s="1">
        <v>186.0680573770492</v>
      </c>
      <c r="U111" s="1">
        <v>30.638352459016392</v>
      </c>
      <c r="V111" s="1">
        <v>21.77558196721311</v>
      </c>
      <c r="W111" s="1">
        <v>484.38333333333333</v>
      </c>
      <c r="X111" s="1"/>
      <c r="Y111" s="1"/>
      <c r="Z111" s="1">
        <v>197.57731884057972</v>
      </c>
      <c r="AA111" s="1">
        <v>28.548997584541059</v>
      </c>
      <c r="AB111" s="1">
        <v>18.573804347826087</v>
      </c>
      <c r="AC111" s="1">
        <v>211.44222222222226</v>
      </c>
    </row>
    <row r="112" spans="1:29" x14ac:dyDescent="0.3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x14ac:dyDescent="0.3">
      <c r="A113" t="s">
        <v>36</v>
      </c>
      <c r="B113" s="1">
        <v>212.60702396137441</v>
      </c>
      <c r="C113" s="1">
        <v>32.603438401077923</v>
      </c>
      <c r="D113" s="1">
        <v>22.173628332959048</v>
      </c>
      <c r="E113" s="1">
        <v>913.28399999999988</v>
      </c>
      <c r="F113" s="1"/>
      <c r="G113" s="1"/>
      <c r="H113" s="1">
        <v>235.48133983050849</v>
      </c>
      <c r="I113" s="1">
        <v>31.966706497175142</v>
      </c>
      <c r="J113" s="1">
        <v>19.698022598870061</v>
      </c>
      <c r="K113" s="1">
        <v>0.97099999999999986</v>
      </c>
      <c r="L113" s="1"/>
      <c r="M113" s="1"/>
      <c r="N113" s="1">
        <v>291.20176086956519</v>
      </c>
      <c r="O113" s="1">
        <v>36.726489130434786</v>
      </c>
      <c r="P113" s="1">
        <v>24.079913043478257</v>
      </c>
      <c r="Q113" s="1">
        <v>133.23000000000002</v>
      </c>
      <c r="R113" s="1"/>
      <c r="S113" s="1"/>
      <c r="T113" s="1">
        <v>164.41555737704914</v>
      </c>
      <c r="U113" s="1">
        <v>31.500098360655738</v>
      </c>
      <c r="V113" s="1">
        <v>22.871852459016395</v>
      </c>
      <c r="W113" s="1">
        <v>396.02666666666659</v>
      </c>
      <c r="X113" s="1"/>
      <c r="Y113" s="1"/>
      <c r="Z113" s="1">
        <v>180.58450483091787</v>
      </c>
      <c r="AA113" s="1">
        <v>29.233454106280192</v>
      </c>
      <c r="AB113" s="1">
        <v>19.706884057971017</v>
      </c>
      <c r="AC113" s="1">
        <v>267.97000000000003</v>
      </c>
    </row>
    <row r="114" spans="1:29" x14ac:dyDescent="0.3">
      <c r="A114" t="s">
        <v>37</v>
      </c>
      <c r="B114" s="1">
        <v>213.71786862040562</v>
      </c>
      <c r="C114" s="1">
        <v>32.433266853806415</v>
      </c>
      <c r="D114" s="1">
        <v>21.938848297028219</v>
      </c>
      <c r="E114" s="1">
        <v>930.0269999999997</v>
      </c>
      <c r="F114" s="1"/>
      <c r="G114" s="1"/>
      <c r="H114" s="1">
        <v>234.055597740113</v>
      </c>
      <c r="I114" s="1">
        <v>31.565503107344636</v>
      </c>
      <c r="J114" s="1">
        <v>19.309990677966102</v>
      </c>
      <c r="K114" s="1">
        <v>1.085</v>
      </c>
      <c r="L114" s="1"/>
      <c r="M114" s="1"/>
      <c r="N114" s="1">
        <v>291.91254347826083</v>
      </c>
      <c r="O114" s="1">
        <v>36.514489130434782</v>
      </c>
      <c r="P114" s="1">
        <v>23.879630434782609</v>
      </c>
      <c r="Q114" s="1">
        <v>125.84599999999998</v>
      </c>
      <c r="R114" s="1"/>
      <c r="S114" s="1"/>
      <c r="T114" s="1">
        <v>168.78015573770494</v>
      </c>
      <c r="U114" s="1">
        <v>31.565967213114753</v>
      </c>
      <c r="V114" s="1">
        <v>22.70818852459016</v>
      </c>
      <c r="W114" s="1">
        <v>414.11777777777775</v>
      </c>
      <c r="X114" s="1"/>
      <c r="Y114" s="1"/>
      <c r="Z114" s="1">
        <v>179.28508454106282</v>
      </c>
      <c r="AA114" s="1">
        <v>28.922463768115943</v>
      </c>
      <c r="AB114" s="1">
        <v>19.432560386473433</v>
      </c>
      <c r="AC114" s="1">
        <v>275.94000000000011</v>
      </c>
    </row>
    <row r="115" spans="1:29" x14ac:dyDescent="0.3">
      <c r="A115" t="s">
        <v>38</v>
      </c>
      <c r="B115" s="1">
        <v>212.83369399655658</v>
      </c>
      <c r="C115" s="1">
        <v>32.349213990568153</v>
      </c>
      <c r="D115" s="1">
        <v>21.881374758589715</v>
      </c>
      <c r="E115" s="1">
        <v>942.45100000000002</v>
      </c>
      <c r="F115" s="1"/>
      <c r="G115" s="1"/>
      <c r="H115" s="1">
        <v>235.24239915254239</v>
      </c>
      <c r="I115" s="1">
        <v>31.715814689265539</v>
      </c>
      <c r="J115" s="1">
        <v>19.329690960451977</v>
      </c>
      <c r="K115" s="1">
        <v>0.76</v>
      </c>
      <c r="L115" s="1"/>
      <c r="M115" s="1"/>
      <c r="N115" s="1">
        <v>292.23694565217386</v>
      </c>
      <c r="O115" s="1">
        <v>36.597184782608693</v>
      </c>
      <c r="P115" s="1">
        <v>23.828706521739129</v>
      </c>
      <c r="Q115" s="1">
        <v>130.20999999999998</v>
      </c>
      <c r="R115" s="1"/>
      <c r="S115" s="1"/>
      <c r="T115" s="1">
        <v>164.16904098360652</v>
      </c>
      <c r="U115" s="1">
        <v>31.175147540983609</v>
      </c>
      <c r="V115" s="1">
        <v>22.623434426229505</v>
      </c>
      <c r="W115" s="1">
        <v>435.65222222222224</v>
      </c>
      <c r="X115" s="1"/>
      <c r="Y115" s="1"/>
      <c r="Z115" s="1">
        <v>181.3107608695652</v>
      </c>
      <c r="AA115" s="1">
        <v>28.939033816425123</v>
      </c>
      <c r="AB115" s="1">
        <v>19.354384057971018</v>
      </c>
      <c r="AC115" s="1">
        <v>260.95111111111106</v>
      </c>
    </row>
    <row r="116" spans="1:29" x14ac:dyDescent="0.3">
      <c r="A116" t="s">
        <v>39</v>
      </c>
      <c r="B116" s="1">
        <v>214.0419422337001</v>
      </c>
      <c r="C116" s="1">
        <v>32.232529568081439</v>
      </c>
      <c r="D116" s="1">
        <v>21.713679272400633</v>
      </c>
      <c r="E116" s="1">
        <v>951.19199999999967</v>
      </c>
      <c r="F116" s="1"/>
      <c r="G116" s="1"/>
      <c r="H116" s="1">
        <v>233.91545593220334</v>
      </c>
      <c r="I116" s="1">
        <v>31.366311864406782</v>
      </c>
      <c r="J116" s="1">
        <v>19.006633050847462</v>
      </c>
      <c r="K116" s="1">
        <v>0.89800000000000002</v>
      </c>
      <c r="L116" s="1"/>
      <c r="M116" s="1"/>
      <c r="N116" s="1">
        <v>292.9124130434783</v>
      </c>
      <c r="O116" s="1">
        <v>36.436228260869562</v>
      </c>
      <c r="P116" s="1">
        <v>23.696554347826087</v>
      </c>
      <c r="Q116" s="1">
        <v>123.85299999999999</v>
      </c>
      <c r="R116" s="1"/>
      <c r="S116" s="1"/>
      <c r="T116" s="1">
        <v>168.69802459016393</v>
      </c>
      <c r="U116" s="1">
        <v>31.2892868852459</v>
      </c>
      <c r="V116" s="1">
        <v>22.526000000000003</v>
      </c>
      <c r="W116" s="1">
        <v>450.68444444444441</v>
      </c>
      <c r="X116" s="1"/>
      <c r="Y116" s="1"/>
      <c r="Z116" s="1">
        <v>180.17318840579711</v>
      </c>
      <c r="AA116" s="1">
        <v>28.692826086956522</v>
      </c>
      <c r="AB116" s="1">
        <v>19.14990338164251</v>
      </c>
      <c r="AC116" s="1">
        <v>264.85333333333324</v>
      </c>
    </row>
    <row r="117" spans="1:29" x14ac:dyDescent="0.3">
      <c r="A117" t="s">
        <v>40</v>
      </c>
      <c r="B117" s="1">
        <v>213.18999848791077</v>
      </c>
      <c r="C117" s="1">
        <v>32.116988292536867</v>
      </c>
      <c r="D117" s="1">
        <v>21.618175739202037</v>
      </c>
      <c r="E117" s="1">
        <v>955.14699999999971</v>
      </c>
      <c r="F117" s="1"/>
      <c r="G117" s="1"/>
      <c r="H117" s="1">
        <v>235.17125875706216</v>
      </c>
      <c r="I117" s="1">
        <v>31.479607909604518</v>
      </c>
      <c r="J117" s="1">
        <v>18.995811864406775</v>
      </c>
      <c r="K117" s="1">
        <v>0.53599999999999992</v>
      </c>
      <c r="L117" s="1"/>
      <c r="M117" s="1"/>
      <c r="N117" s="1">
        <v>293.20001086956523</v>
      </c>
      <c r="O117" s="1">
        <v>36.492989130434786</v>
      </c>
      <c r="P117" s="1">
        <v>23.619663043478258</v>
      </c>
      <c r="Q117" s="1">
        <v>127</v>
      </c>
      <c r="R117" s="1"/>
      <c r="S117" s="1"/>
      <c r="T117" s="1">
        <v>164.0866393442623</v>
      </c>
      <c r="U117" s="1">
        <v>30.883418032786885</v>
      </c>
      <c r="V117" s="1">
        <v>22.409336065573772</v>
      </c>
      <c r="W117" s="1">
        <v>462.03111111111116</v>
      </c>
      <c r="X117" s="1"/>
      <c r="Y117" s="1"/>
      <c r="Z117" s="1">
        <v>182.38521739130434</v>
      </c>
      <c r="AA117" s="1">
        <v>28.650012077294686</v>
      </c>
      <c r="AB117" s="1">
        <v>19.004287439613524</v>
      </c>
      <c r="AC117" s="1">
        <v>245.13444444444445</v>
      </c>
    </row>
    <row r="118" spans="1:29" x14ac:dyDescent="0.3">
      <c r="A118" t="s">
        <v>41</v>
      </c>
      <c r="B118" s="1">
        <v>214.4789049629463</v>
      </c>
      <c r="C118" s="1">
        <v>32.142471487386793</v>
      </c>
      <c r="D118" s="1">
        <v>21.600907275993716</v>
      </c>
      <c r="E118" s="1">
        <v>957.54499999999985</v>
      </c>
      <c r="F118" s="1"/>
      <c r="G118" s="1"/>
      <c r="H118" s="1">
        <v>233.94318587570621</v>
      </c>
      <c r="I118" s="1">
        <v>31.268922033898303</v>
      </c>
      <c r="J118" s="1">
        <v>18.823529943502827</v>
      </c>
      <c r="K118" s="1">
        <v>0.68200000000000016</v>
      </c>
      <c r="L118" s="1"/>
      <c r="M118" s="1"/>
      <c r="N118" s="1">
        <v>293.83417391304346</v>
      </c>
      <c r="O118" s="1">
        <v>36.473402173913044</v>
      </c>
      <c r="P118" s="1">
        <v>23.63448913043478</v>
      </c>
      <c r="Q118" s="1">
        <v>121.23899999999999</v>
      </c>
      <c r="R118" s="1"/>
      <c r="S118" s="1"/>
      <c r="T118" s="1">
        <v>168.737868852459</v>
      </c>
      <c r="U118" s="1">
        <v>31.139139344262293</v>
      </c>
      <c r="V118" s="1">
        <v>22.467049180327869</v>
      </c>
      <c r="W118" s="1">
        <v>473.33000000000004</v>
      </c>
      <c r="X118" s="1"/>
      <c r="Y118" s="1"/>
      <c r="Z118" s="1">
        <v>181.40349033816426</v>
      </c>
      <c r="AA118" s="1">
        <v>28.551690821256038</v>
      </c>
      <c r="AB118" s="1">
        <v>18.948490338164248</v>
      </c>
      <c r="AC118" s="1">
        <v>246.86666666666667</v>
      </c>
    </row>
    <row r="119" spans="1:29" x14ac:dyDescent="0.3">
      <c r="A119" t="s">
        <v>42</v>
      </c>
      <c r="B119" s="1">
        <v>213.54619902687324</v>
      </c>
      <c r="C119" s="1">
        <v>32.081986997529746</v>
      </c>
      <c r="D119" s="1">
        <v>21.554289969309078</v>
      </c>
      <c r="E119" s="1">
        <v>934.5899999999998</v>
      </c>
      <c r="F119" s="1"/>
      <c r="G119" s="1"/>
      <c r="H119" s="1">
        <v>235.1003169491525</v>
      </c>
      <c r="I119" s="1">
        <v>31.423688983050852</v>
      </c>
      <c r="J119" s="1">
        <v>18.867498587570619</v>
      </c>
      <c r="K119" s="1">
        <v>0.33499999999999996</v>
      </c>
      <c r="L119" s="1"/>
      <c r="M119" s="1"/>
      <c r="N119" s="1">
        <v>294.16303260869563</v>
      </c>
      <c r="O119" s="1">
        <v>36.594152173913045</v>
      </c>
      <c r="P119" s="1">
        <v>23.622847826086957</v>
      </c>
      <c r="Q119" s="1">
        <v>120.31100000000001</v>
      </c>
      <c r="R119" s="1"/>
      <c r="S119" s="1"/>
      <c r="T119" s="1">
        <v>164.00400819672132</v>
      </c>
      <c r="U119" s="1">
        <v>30.808286885245895</v>
      </c>
      <c r="V119" s="1">
        <v>22.39968032786885</v>
      </c>
      <c r="W119" s="1">
        <v>464.14111111111106</v>
      </c>
      <c r="X119" s="1"/>
      <c r="Y119" s="1"/>
      <c r="Z119" s="1">
        <v>183.45952898550726</v>
      </c>
      <c r="AA119" s="1">
        <v>28.535688405797107</v>
      </c>
      <c r="AB119" s="1">
        <v>18.828309178743961</v>
      </c>
      <c r="AC119" s="1">
        <v>227.63444444444445</v>
      </c>
    </row>
    <row r="120" spans="1:29" x14ac:dyDescent="0.3">
      <c r="A120" t="s">
        <v>43</v>
      </c>
      <c r="B120" s="1">
        <v>214.9159606707089</v>
      </c>
      <c r="C120" s="1">
        <v>32.06153754772064</v>
      </c>
      <c r="D120" s="1">
        <v>21.491453357287213</v>
      </c>
      <c r="E120" s="1">
        <v>933.13799999999992</v>
      </c>
      <c r="F120" s="1"/>
      <c r="G120" s="1"/>
      <c r="H120" s="1">
        <v>233.97104745762709</v>
      </c>
      <c r="I120" s="1">
        <v>31.165125423728814</v>
      </c>
      <c r="J120" s="1">
        <v>18.647454237288134</v>
      </c>
      <c r="K120" s="1">
        <v>0.437</v>
      </c>
      <c r="L120" s="1"/>
      <c r="M120" s="1"/>
      <c r="N120" s="1">
        <v>294.75589130434776</v>
      </c>
      <c r="O120" s="1">
        <v>36.531815217391305</v>
      </c>
      <c r="P120" s="1">
        <v>23.586076086956517</v>
      </c>
      <c r="Q120" s="1">
        <v>115.05</v>
      </c>
      <c r="R120" s="1"/>
      <c r="S120" s="1"/>
      <c r="T120" s="1">
        <v>168.77777868852459</v>
      </c>
      <c r="U120" s="1">
        <v>31.017303278688523</v>
      </c>
      <c r="V120" s="1">
        <v>22.420762295081964</v>
      </c>
      <c r="W120" s="1">
        <v>472.31444444444446</v>
      </c>
      <c r="X120" s="1"/>
      <c r="Y120" s="1"/>
      <c r="Z120" s="1">
        <v>182.63416666666666</v>
      </c>
      <c r="AA120" s="1">
        <v>28.391763285024151</v>
      </c>
      <c r="AB120" s="1">
        <v>18.723876811594199</v>
      </c>
      <c r="AC120" s="1">
        <v>228.58000000000004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0BD06-BB69-4452-9880-675CE0FBCBAD}">
  <sheetPr codeName="Sheet78"/>
  <dimension ref="A1:AD120"/>
  <sheetViews>
    <sheetView topLeftCell="A52" workbookViewId="0">
      <selection sqref="A1:G1"/>
    </sheetView>
  </sheetViews>
  <sheetFormatPr defaultRowHeight="14.4" x14ac:dyDescent="0.3"/>
  <cols>
    <col min="1" max="1" width="12.109375" bestFit="1" customWidth="1"/>
  </cols>
  <sheetData>
    <row r="1" spans="1:30" x14ac:dyDescent="0.3">
      <c r="A1" t="s">
        <v>4</v>
      </c>
    </row>
    <row r="2" spans="1:30" x14ac:dyDescent="0.3">
      <c r="A2" t="s">
        <v>9</v>
      </c>
      <c r="B2" t="s">
        <v>0</v>
      </c>
      <c r="C2" t="s">
        <v>1</v>
      </c>
      <c r="D2" t="s">
        <v>2</v>
      </c>
      <c r="E2" t="s">
        <v>3</v>
      </c>
      <c r="G2" t="s">
        <v>6</v>
      </c>
      <c r="H2" t="s">
        <v>0</v>
      </c>
      <c r="I2" t="s">
        <v>1</v>
      </c>
      <c r="J2" t="s">
        <v>2</v>
      </c>
      <c r="K2" t="s">
        <v>3</v>
      </c>
      <c r="M2" t="s">
        <v>7</v>
      </c>
      <c r="N2" t="s">
        <v>0</v>
      </c>
      <c r="O2" t="s">
        <v>1</v>
      </c>
      <c r="P2" t="s">
        <v>2</v>
      </c>
      <c r="Q2" t="s">
        <v>3</v>
      </c>
      <c r="S2" t="s">
        <v>5</v>
      </c>
      <c r="T2" t="s">
        <v>0</v>
      </c>
      <c r="U2" t="s">
        <v>1</v>
      </c>
      <c r="V2" t="s">
        <v>2</v>
      </c>
      <c r="W2" t="s">
        <v>3</v>
      </c>
      <c r="Y2" t="s">
        <v>8</v>
      </c>
      <c r="Z2" t="s">
        <v>0</v>
      </c>
      <c r="AA2" t="s">
        <v>1</v>
      </c>
      <c r="AB2" t="s">
        <v>2</v>
      </c>
      <c r="AC2" t="s">
        <v>3</v>
      </c>
    </row>
    <row r="3" spans="1:30" x14ac:dyDescent="0.3">
      <c r="A3" t="s">
        <v>12</v>
      </c>
      <c r="B3" s="1">
        <v>244.7086970498456</v>
      </c>
      <c r="C3" s="1">
        <v>32.2727200139731</v>
      </c>
      <c r="D3" s="1">
        <v>19.750886618259855</v>
      </c>
      <c r="E3" s="1">
        <v>823.96999999999991</v>
      </c>
      <c r="F3" s="1"/>
      <c r="G3" s="1"/>
      <c r="H3" s="1">
        <v>257.5966098556184</v>
      </c>
      <c r="I3" s="1">
        <v>32.019287821720027</v>
      </c>
      <c r="J3" s="1">
        <v>17.17271845574388</v>
      </c>
      <c r="K3" s="1">
        <v>0.13333333333333336</v>
      </c>
      <c r="L3" s="1"/>
      <c r="M3" s="1"/>
      <c r="N3" s="1">
        <v>280.20981884057971</v>
      </c>
      <c r="O3" s="1">
        <v>36.607016908212557</v>
      </c>
      <c r="P3" s="1">
        <v>21.788804347826087</v>
      </c>
      <c r="Q3" s="1">
        <v>145.9688888888889</v>
      </c>
      <c r="R3" s="1"/>
      <c r="S3" s="1"/>
      <c r="T3" s="1">
        <v>231.82926229508192</v>
      </c>
      <c r="U3" s="1">
        <v>30.869963570127499</v>
      </c>
      <c r="V3" s="1">
        <v>20.598688524590159</v>
      </c>
      <c r="W3" s="1">
        <v>439.33888888888885</v>
      </c>
      <c r="X3" s="1"/>
      <c r="Y3" s="1"/>
      <c r="Z3" s="1">
        <v>217.98804347826086</v>
      </c>
      <c r="AA3" s="1">
        <v>29.962161835748791</v>
      </c>
      <c r="AB3" s="1">
        <v>18.248768115942028</v>
      </c>
      <c r="AC3" s="1">
        <v>238.52888888888887</v>
      </c>
      <c r="AD3" s="1"/>
    </row>
    <row r="4" spans="1:30" x14ac:dyDescent="0.3">
      <c r="A4" t="s">
        <v>13</v>
      </c>
      <c r="B4" s="1">
        <v>245.3521457278074</v>
      </c>
      <c r="C4" s="1">
        <v>32.074582187622156</v>
      </c>
      <c r="D4" s="1">
        <v>19.506788548710396</v>
      </c>
      <c r="E4" s="1">
        <v>847.81888888888864</v>
      </c>
      <c r="F4" s="1"/>
      <c r="G4" s="1"/>
      <c r="H4" s="1">
        <v>259.10933239171374</v>
      </c>
      <c r="I4" s="1">
        <v>31.547756120527303</v>
      </c>
      <c r="J4" s="1">
        <v>16.716623979912114</v>
      </c>
      <c r="K4" s="1">
        <v>0.12111111111111114</v>
      </c>
      <c r="L4" s="1"/>
      <c r="M4" s="1"/>
      <c r="N4" s="1">
        <v>282.22909420289858</v>
      </c>
      <c r="O4" s="1">
        <v>36.386328502415466</v>
      </c>
      <c r="P4" s="1">
        <v>21.620036231884061</v>
      </c>
      <c r="Q4" s="1">
        <v>142.52555555555557</v>
      </c>
      <c r="R4" s="1"/>
      <c r="S4" s="1"/>
      <c r="T4" s="1">
        <v>231.40693989071042</v>
      </c>
      <c r="U4" s="1">
        <v>30.940792349726774</v>
      </c>
      <c r="V4" s="1">
        <v>20.451867030965388</v>
      </c>
      <c r="W4" s="1">
        <v>454.9755555555555</v>
      </c>
      <c r="X4" s="1"/>
      <c r="Y4" s="1"/>
      <c r="Z4" s="1">
        <v>218.10954106280195</v>
      </c>
      <c r="AA4" s="1">
        <v>29.605881642512074</v>
      </c>
      <c r="AB4" s="1">
        <v>17.936811594202894</v>
      </c>
      <c r="AC4" s="1">
        <v>250.19666666666666</v>
      </c>
      <c r="AD4" s="1"/>
    </row>
    <row r="5" spans="1:30" x14ac:dyDescent="0.3">
      <c r="A5" t="s">
        <v>14</v>
      </c>
      <c r="B5" s="1">
        <v>245.11102710615393</v>
      </c>
      <c r="C5" s="1">
        <v>32.007205737289041</v>
      </c>
      <c r="D5" s="1">
        <v>19.469830775756666</v>
      </c>
      <c r="E5" s="1">
        <v>849.7155555555554</v>
      </c>
      <c r="F5" s="1"/>
      <c r="G5" s="1"/>
      <c r="H5" s="1">
        <v>257.37551004394231</v>
      </c>
      <c r="I5" s="1">
        <v>31.764666352793469</v>
      </c>
      <c r="J5" s="1">
        <v>16.801031387319526</v>
      </c>
      <c r="K5" s="1">
        <v>4.777777777777778E-2</v>
      </c>
      <c r="L5" s="1"/>
      <c r="M5" s="1"/>
      <c r="N5" s="1">
        <v>280.92088164251203</v>
      </c>
      <c r="O5" s="1">
        <v>36.483345410628019</v>
      </c>
      <c r="P5" s="1">
        <v>21.561400966183573</v>
      </c>
      <c r="Q5" s="1">
        <v>139.54666666666668</v>
      </c>
      <c r="R5" s="1"/>
      <c r="S5" s="1"/>
      <c r="T5" s="1">
        <v>232.29002732240437</v>
      </c>
      <c r="U5" s="1">
        <v>30.528752276867035</v>
      </c>
      <c r="V5" s="1">
        <v>20.358597449908928</v>
      </c>
      <c r="W5" s="1">
        <v>479.10999999999996</v>
      </c>
      <c r="X5" s="1"/>
      <c r="Y5" s="1"/>
      <c r="Z5" s="1">
        <v>218.4058816425121</v>
      </c>
      <c r="AA5" s="1">
        <v>29.648212560386476</v>
      </c>
      <c r="AB5" s="1">
        <v>17.918067632850246</v>
      </c>
      <c r="AC5" s="1">
        <v>231.01111111111109</v>
      </c>
      <c r="AD5" s="1"/>
    </row>
    <row r="6" spans="1:30" x14ac:dyDescent="0.3">
      <c r="A6" t="s">
        <v>15</v>
      </c>
      <c r="B6" s="1">
        <v>245.70496826109741</v>
      </c>
      <c r="C6" s="1">
        <v>31.862102294749263</v>
      </c>
      <c r="D6" s="1">
        <v>19.296150119353577</v>
      </c>
      <c r="E6" s="1">
        <v>870.35444444444431</v>
      </c>
      <c r="F6" s="1"/>
      <c r="G6" s="1"/>
      <c r="H6" s="1">
        <v>258.79377055869423</v>
      </c>
      <c r="I6" s="1">
        <v>31.344439108600127</v>
      </c>
      <c r="J6" s="1">
        <v>16.415043000627747</v>
      </c>
      <c r="K6" s="1">
        <v>3.7777777777777771E-2</v>
      </c>
      <c r="L6" s="1"/>
      <c r="M6" s="1"/>
      <c r="N6" s="1">
        <v>282.87562801932364</v>
      </c>
      <c r="O6" s="1">
        <v>36.315555555555562</v>
      </c>
      <c r="P6" s="1">
        <v>21.466231884057972</v>
      </c>
      <c r="Q6" s="1">
        <v>137.67888888888888</v>
      </c>
      <c r="R6" s="1"/>
      <c r="S6" s="1"/>
      <c r="T6" s="1">
        <v>231.85363387978143</v>
      </c>
      <c r="U6" s="1">
        <v>30.645874316939892</v>
      </c>
      <c r="V6" s="1">
        <v>20.276867030965391</v>
      </c>
      <c r="W6" s="1">
        <v>493.54444444444442</v>
      </c>
      <c r="X6" s="1"/>
      <c r="Y6" s="1"/>
      <c r="Z6" s="1">
        <v>218.47481884057976</v>
      </c>
      <c r="AA6" s="1">
        <v>29.355157004830915</v>
      </c>
      <c r="AB6" s="1">
        <v>17.680615942028986</v>
      </c>
      <c r="AC6" s="1">
        <v>239.09333333333331</v>
      </c>
      <c r="AD6" s="1"/>
    </row>
    <row r="7" spans="1:30" x14ac:dyDescent="0.3">
      <c r="A7" t="s">
        <v>16</v>
      </c>
      <c r="B7" s="1">
        <v>245.48547071054887</v>
      </c>
      <c r="C7" s="1">
        <v>31.778559830659315</v>
      </c>
      <c r="D7" s="1">
        <v>19.244317838161543</v>
      </c>
      <c r="E7" s="1">
        <v>859.06777777777779</v>
      </c>
      <c r="F7" s="1"/>
      <c r="G7" s="1"/>
      <c r="H7" s="1">
        <v>257.12665536723165</v>
      </c>
      <c r="I7" s="1">
        <v>31.53743722536095</v>
      </c>
      <c r="J7" s="1">
        <v>16.474733207784052</v>
      </c>
      <c r="K7" s="1">
        <v>3.0000000000000009E-2</v>
      </c>
      <c r="L7" s="1"/>
      <c r="M7" s="1"/>
      <c r="N7" s="1">
        <v>281.49132850241546</v>
      </c>
      <c r="O7" s="1">
        <v>36.399033816425117</v>
      </c>
      <c r="P7" s="1">
        <v>21.436992753623187</v>
      </c>
      <c r="Q7" s="1">
        <v>129.53000000000003</v>
      </c>
      <c r="R7" s="1"/>
      <c r="S7" s="1"/>
      <c r="T7" s="1">
        <v>232.77033697632052</v>
      </c>
      <c r="U7" s="1">
        <v>30.240291438979966</v>
      </c>
      <c r="V7" s="1">
        <v>20.167367941712204</v>
      </c>
      <c r="W7" s="1">
        <v>506.67444444444453</v>
      </c>
      <c r="X7" s="1"/>
      <c r="Y7" s="1"/>
      <c r="Z7" s="1">
        <v>218.84561594202901</v>
      </c>
      <c r="AA7" s="1">
        <v>29.353671497584532</v>
      </c>
      <c r="AB7" s="1">
        <v>17.610845410628016</v>
      </c>
      <c r="AC7" s="1">
        <v>222.83333333333334</v>
      </c>
      <c r="AD7" s="1"/>
    </row>
    <row r="8" spans="1:30" x14ac:dyDescent="0.3">
      <c r="A8" t="s">
        <v>17</v>
      </c>
      <c r="B8" s="1">
        <v>246.02905983481793</v>
      </c>
      <c r="C8" s="1">
        <v>31.78105193336161</v>
      </c>
      <c r="D8" s="1">
        <v>19.228484991391571</v>
      </c>
      <c r="E8" s="1">
        <v>875.31888888888864</v>
      </c>
      <c r="F8" s="1"/>
      <c r="G8" s="1"/>
      <c r="H8" s="1">
        <v>258.44240521029502</v>
      </c>
      <c r="I8" s="1">
        <v>31.263043628374135</v>
      </c>
      <c r="J8" s="1">
        <v>16.248095103578155</v>
      </c>
      <c r="K8" s="1">
        <v>3.2222222222222228E-2</v>
      </c>
      <c r="L8" s="1"/>
      <c r="M8" s="1"/>
      <c r="N8" s="1">
        <v>283.38263285024158</v>
      </c>
      <c r="O8" s="1">
        <v>36.381364734299524</v>
      </c>
      <c r="P8" s="1">
        <v>21.499335748792266</v>
      </c>
      <c r="Q8" s="1">
        <v>128.01555555555558</v>
      </c>
      <c r="R8" s="1"/>
      <c r="S8" s="1"/>
      <c r="T8" s="1">
        <v>232.31596539162112</v>
      </c>
      <c r="U8" s="1">
        <v>30.499435336976319</v>
      </c>
      <c r="V8" s="1">
        <v>20.241803278688526</v>
      </c>
      <c r="W8" s="1">
        <v>519.37111111111108</v>
      </c>
      <c r="X8" s="1"/>
      <c r="Y8" s="1"/>
      <c r="Z8" s="1">
        <v>218.86792270531402</v>
      </c>
      <c r="AA8" s="1">
        <v>29.214214975845412</v>
      </c>
      <c r="AB8" s="1">
        <v>17.532838164251206</v>
      </c>
      <c r="AC8" s="1">
        <v>227.89999999999998</v>
      </c>
      <c r="AD8" s="1"/>
    </row>
    <row r="9" spans="1:30" x14ac:dyDescent="0.3">
      <c r="A9" t="s">
        <v>18</v>
      </c>
      <c r="B9" s="1">
        <v>245.72655246982887</v>
      </c>
      <c r="C9" s="1">
        <v>31.752509502540931</v>
      </c>
      <c r="D9" s="1">
        <v>19.218666467050923</v>
      </c>
      <c r="E9" s="1">
        <v>842.36333333333323</v>
      </c>
      <c r="F9" s="1"/>
      <c r="G9" s="1"/>
      <c r="H9" s="1">
        <v>256.68082956685504</v>
      </c>
      <c r="I9" s="1">
        <v>31.49725455116133</v>
      </c>
      <c r="J9" s="1">
        <v>16.345624293785313</v>
      </c>
      <c r="K9" s="1">
        <v>2.6666666666666668E-2</v>
      </c>
      <c r="L9" s="1"/>
      <c r="M9" s="1"/>
      <c r="N9" s="1">
        <v>281.73571256038645</v>
      </c>
      <c r="O9" s="1">
        <v>36.521086956521728</v>
      </c>
      <c r="P9" s="1">
        <v>21.529178743961353</v>
      </c>
      <c r="Q9" s="1">
        <v>118.16444444444444</v>
      </c>
      <c r="R9" s="1"/>
      <c r="S9" s="1"/>
      <c r="T9" s="1">
        <v>233.22178506375232</v>
      </c>
      <c r="U9" s="1">
        <v>30.173852459016398</v>
      </c>
      <c r="V9" s="1">
        <v>20.181903460837884</v>
      </c>
      <c r="W9" s="1">
        <v>511.53777777777771</v>
      </c>
      <c r="X9" s="1"/>
      <c r="Y9" s="1"/>
      <c r="Z9" s="1">
        <v>219.24688405797099</v>
      </c>
      <c r="AA9" s="1">
        <v>29.24221014492754</v>
      </c>
      <c r="AB9" s="1">
        <v>17.480664251207727</v>
      </c>
      <c r="AC9" s="1">
        <v>212.6344444444444</v>
      </c>
      <c r="AD9" s="1"/>
    </row>
    <row r="10" spans="1:30" x14ac:dyDescent="0.3">
      <c r="A10" t="s">
        <v>19</v>
      </c>
      <c r="B10" s="1">
        <v>246.22183016859219</v>
      </c>
      <c r="C10" s="1">
        <v>31.716460962646902</v>
      </c>
      <c r="D10" s="1">
        <v>19.165244770483483</v>
      </c>
      <c r="E10" s="1">
        <v>853.79444444444437</v>
      </c>
      <c r="F10" s="1"/>
      <c r="G10" s="1"/>
      <c r="H10" s="1">
        <v>257.89589924670435</v>
      </c>
      <c r="I10" s="1">
        <v>31.184606089139987</v>
      </c>
      <c r="J10" s="1">
        <v>16.082946641556809</v>
      </c>
      <c r="K10" s="1">
        <v>3.4444444444444451E-2</v>
      </c>
      <c r="L10" s="1"/>
      <c r="M10" s="1"/>
      <c r="N10" s="1">
        <v>283.56245169082126</v>
      </c>
      <c r="O10" s="1">
        <v>36.471243961352648</v>
      </c>
      <c r="P10" s="1">
        <v>21.548816425120769</v>
      </c>
      <c r="Q10" s="1">
        <v>116.01222222222223</v>
      </c>
      <c r="R10" s="1"/>
      <c r="S10" s="1"/>
      <c r="T10" s="1">
        <v>232.74359744990892</v>
      </c>
      <c r="U10" s="1">
        <v>30.387805100182149</v>
      </c>
      <c r="V10" s="1">
        <v>20.220673952641164</v>
      </c>
      <c r="W10" s="1">
        <v>521.95555555555563</v>
      </c>
      <c r="X10" s="1"/>
      <c r="Y10" s="1"/>
      <c r="Z10" s="1">
        <v>219.23835748792266</v>
      </c>
      <c r="AA10" s="1">
        <v>29.06648550724638</v>
      </c>
      <c r="AB10" s="1">
        <v>17.366630434782607</v>
      </c>
      <c r="AC10" s="1">
        <v>215.79222222222222</v>
      </c>
      <c r="AD10" s="1"/>
    </row>
    <row r="11" spans="1:30" x14ac:dyDescent="0.3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t="s">
        <v>20</v>
      </c>
      <c r="B12" s="1">
        <v>243.77313208739841</v>
      </c>
      <c r="C12" s="1">
        <v>32.173836215285569</v>
      </c>
      <c r="D12" s="1">
        <v>20.573173649058894</v>
      </c>
      <c r="E12" s="1">
        <v>846.45222222222208</v>
      </c>
      <c r="F12" s="1"/>
      <c r="G12" s="1"/>
      <c r="H12" s="1">
        <v>254.71839171374768</v>
      </c>
      <c r="I12" s="1">
        <v>31.858299121155046</v>
      </c>
      <c r="J12" s="1">
        <v>17.99154896421846</v>
      </c>
      <c r="K12" s="1">
        <v>5.7777777777777782E-2</v>
      </c>
      <c r="L12" s="1"/>
      <c r="M12" s="1"/>
      <c r="N12" s="1">
        <v>281.2818961352657</v>
      </c>
      <c r="O12" s="1">
        <v>36.511835748792272</v>
      </c>
      <c r="P12" s="1">
        <v>22.302536231884062</v>
      </c>
      <c r="Q12" s="1">
        <v>150.85777777777781</v>
      </c>
      <c r="R12" s="1"/>
      <c r="S12" s="1"/>
      <c r="T12" s="1">
        <v>230.47195810564665</v>
      </c>
      <c r="U12" s="1">
        <v>30.798132969034604</v>
      </c>
      <c r="V12" s="1">
        <v>21.288551912568305</v>
      </c>
      <c r="W12" s="1">
        <v>426.42888888888888</v>
      </c>
      <c r="X12" s="1"/>
      <c r="Y12" s="1"/>
      <c r="Z12" s="1">
        <v>216.85474637681159</v>
      </c>
      <c r="AA12" s="1">
        <v>29.862246376811591</v>
      </c>
      <c r="AB12" s="1">
        <v>19.555748792270531</v>
      </c>
      <c r="AC12" s="1">
        <v>269.1077777777777</v>
      </c>
      <c r="AD12" s="1"/>
    </row>
    <row r="13" spans="1:30" x14ac:dyDescent="0.3">
      <c r="A13" t="s">
        <v>21</v>
      </c>
      <c r="B13" s="1">
        <v>244.27764583177381</v>
      </c>
      <c r="C13" s="1">
        <v>31.976841671449126</v>
      </c>
      <c r="D13" s="1">
        <v>20.320476358010826</v>
      </c>
      <c r="E13" s="1">
        <v>869.89333333333332</v>
      </c>
      <c r="F13" s="1"/>
      <c r="G13" s="1"/>
      <c r="H13" s="1">
        <v>256.08926428123033</v>
      </c>
      <c r="I13" s="1">
        <v>31.361401129943506</v>
      </c>
      <c r="J13" s="1">
        <v>17.568494350282485</v>
      </c>
      <c r="K13" s="1">
        <v>5.7777777777777782E-2</v>
      </c>
      <c r="L13" s="1"/>
      <c r="M13" s="1"/>
      <c r="N13" s="1">
        <v>283.20910628019317</v>
      </c>
      <c r="O13" s="1">
        <v>36.299927536231884</v>
      </c>
      <c r="P13" s="1">
        <v>22.084420289855071</v>
      </c>
      <c r="Q13" s="1">
        <v>145.86000000000001</v>
      </c>
      <c r="R13" s="1"/>
      <c r="S13" s="1"/>
      <c r="T13" s="1">
        <v>229.87560109289618</v>
      </c>
      <c r="U13" s="1">
        <v>30.878342440801458</v>
      </c>
      <c r="V13" s="1">
        <v>21.109061930783245</v>
      </c>
      <c r="W13" s="1">
        <v>440.41111111111115</v>
      </c>
      <c r="X13" s="1"/>
      <c r="Y13" s="1"/>
      <c r="Z13" s="1">
        <v>216.83832125603865</v>
      </c>
      <c r="AA13" s="1">
        <v>29.50566425120773</v>
      </c>
      <c r="AB13" s="1">
        <v>19.281086956521744</v>
      </c>
      <c r="AC13" s="1">
        <v>283.56444444444446</v>
      </c>
      <c r="AD13" s="1"/>
    </row>
    <row r="14" spans="1:30" x14ac:dyDescent="0.3">
      <c r="A14" t="s">
        <v>22</v>
      </c>
      <c r="B14" s="1">
        <v>244.22774603887521</v>
      </c>
      <c r="C14" s="1">
        <v>31.913178007335873</v>
      </c>
      <c r="D14" s="1">
        <v>20.26589471933195</v>
      </c>
      <c r="E14" s="1">
        <v>868.87333333333311</v>
      </c>
      <c r="F14" s="1"/>
      <c r="G14" s="1"/>
      <c r="H14" s="1">
        <v>254.67074921531699</v>
      </c>
      <c r="I14" s="1">
        <v>31.612401757689895</v>
      </c>
      <c r="J14" s="1">
        <v>17.627753609541745</v>
      </c>
      <c r="K14" s="1">
        <v>3.1111111111111114E-2</v>
      </c>
      <c r="L14" s="1"/>
      <c r="M14" s="1"/>
      <c r="N14" s="1">
        <v>282.11045893719802</v>
      </c>
      <c r="O14" s="1">
        <v>36.413345410628018</v>
      </c>
      <c r="P14" s="1">
        <v>22.025471014492755</v>
      </c>
      <c r="Q14" s="1">
        <v>143.91333333333333</v>
      </c>
      <c r="R14" s="1"/>
      <c r="S14" s="1"/>
      <c r="T14" s="1">
        <v>230.8355919854281</v>
      </c>
      <c r="U14" s="1">
        <v>30.450455373406196</v>
      </c>
      <c r="V14" s="1">
        <v>21.021493624772308</v>
      </c>
      <c r="W14" s="1">
        <v>464.59666666666664</v>
      </c>
      <c r="X14" s="1"/>
      <c r="Y14" s="1"/>
      <c r="Z14" s="1">
        <v>217.37961352657001</v>
      </c>
      <c r="AA14" s="1">
        <v>29.545265700483089</v>
      </c>
      <c r="AB14" s="1">
        <v>19.201219806763291</v>
      </c>
      <c r="AC14" s="1">
        <v>260.33222222222219</v>
      </c>
      <c r="AD14" s="1"/>
    </row>
    <row r="15" spans="1:30" x14ac:dyDescent="0.3">
      <c r="A15" t="s">
        <v>23</v>
      </c>
      <c r="B15" s="1">
        <v>244.68378602856168</v>
      </c>
      <c r="C15" s="1">
        <v>31.769799020219402</v>
      </c>
      <c r="D15" s="1">
        <v>20.082215094276858</v>
      </c>
      <c r="E15" s="1">
        <v>888.662222222222</v>
      </c>
      <c r="F15" s="1"/>
      <c r="G15" s="1"/>
      <c r="H15" s="1">
        <v>255.95352416823602</v>
      </c>
      <c r="I15" s="1">
        <v>31.168916509730067</v>
      </c>
      <c r="J15" s="1">
        <v>17.276629315756438</v>
      </c>
      <c r="K15" s="1">
        <v>2.3333333333333331E-2</v>
      </c>
      <c r="L15" s="1"/>
      <c r="M15" s="1"/>
      <c r="N15" s="1">
        <v>283.95805555555557</v>
      </c>
      <c r="O15" s="1">
        <v>36.253647342995173</v>
      </c>
      <c r="P15" s="1">
        <v>21.877717391304348</v>
      </c>
      <c r="Q15" s="1">
        <v>140.04888888888888</v>
      </c>
      <c r="R15" s="1"/>
      <c r="S15" s="1"/>
      <c r="T15" s="1">
        <v>230.2315755919854</v>
      </c>
      <c r="U15" s="1">
        <v>30.578451730418937</v>
      </c>
      <c r="V15" s="1">
        <v>20.907067395264118</v>
      </c>
      <c r="W15" s="1">
        <v>477.97333333333336</v>
      </c>
      <c r="X15" s="1"/>
      <c r="Y15" s="1"/>
      <c r="Z15" s="1">
        <v>217.31725845410628</v>
      </c>
      <c r="AA15" s="1">
        <v>29.251557971014492</v>
      </c>
      <c r="AB15" s="1">
        <v>18.997596618357491</v>
      </c>
      <c r="AC15" s="1">
        <v>270.61666666666662</v>
      </c>
      <c r="AD15" s="1"/>
    </row>
    <row r="16" spans="1:30" x14ac:dyDescent="0.3">
      <c r="A16" t="s">
        <v>24</v>
      </c>
      <c r="B16" s="1">
        <v>244.61832400961481</v>
      </c>
      <c r="C16" s="1">
        <v>31.682700784323508</v>
      </c>
      <c r="D16" s="1">
        <v>19.986002112599905</v>
      </c>
      <c r="E16" s="1">
        <v>872.74666666666644</v>
      </c>
      <c r="F16" s="1"/>
      <c r="G16" s="1"/>
      <c r="H16" s="1">
        <v>254.5166497175141</v>
      </c>
      <c r="I16" s="1">
        <v>31.380790018832393</v>
      </c>
      <c r="J16" s="1">
        <v>17.284893596986819</v>
      </c>
      <c r="K16" s="1">
        <v>1.2222222222222221E-2</v>
      </c>
      <c r="L16" s="1"/>
      <c r="M16" s="1"/>
      <c r="N16" s="1">
        <v>282.7802898550724</v>
      </c>
      <c r="O16" s="1">
        <v>36.354637681159424</v>
      </c>
      <c r="P16" s="1">
        <v>21.791352657004833</v>
      </c>
      <c r="Q16" s="1">
        <v>131.46555555555557</v>
      </c>
      <c r="R16" s="1"/>
      <c r="S16" s="1"/>
      <c r="T16" s="1">
        <v>231.16500910746814</v>
      </c>
      <c r="U16" s="1">
        <v>30.143989071038245</v>
      </c>
      <c r="V16" s="1">
        <v>20.794162112932604</v>
      </c>
      <c r="W16" s="1">
        <v>490.80333333333328</v>
      </c>
      <c r="X16" s="1"/>
      <c r="Y16" s="1"/>
      <c r="Z16" s="1">
        <v>217.92310386473432</v>
      </c>
      <c r="AA16" s="1">
        <v>29.244541062801929</v>
      </c>
      <c r="AB16" s="1">
        <v>18.846304347826088</v>
      </c>
      <c r="AC16" s="1">
        <v>250.46555555555557</v>
      </c>
      <c r="AD16" s="1"/>
    </row>
    <row r="17" spans="1:30" x14ac:dyDescent="0.3">
      <c r="A17" t="s">
        <v>25</v>
      </c>
      <c r="B17" s="1">
        <v>245.0230265239413</v>
      </c>
      <c r="C17" s="1">
        <v>31.686305778043927</v>
      </c>
      <c r="D17" s="1">
        <v>19.955422428491815</v>
      </c>
      <c r="E17" s="1">
        <v>888.08555555555529</v>
      </c>
      <c r="F17" s="1"/>
      <c r="G17" s="1"/>
      <c r="H17" s="1">
        <v>255.70407815442559</v>
      </c>
      <c r="I17" s="1">
        <v>31.086574387947273</v>
      </c>
      <c r="J17" s="1">
        <v>17.089610169491525</v>
      </c>
      <c r="K17" s="1">
        <v>0.01</v>
      </c>
      <c r="L17" s="1"/>
      <c r="M17" s="1"/>
      <c r="N17" s="1">
        <v>284.5393478260869</v>
      </c>
      <c r="O17" s="1">
        <v>36.340229468599048</v>
      </c>
      <c r="P17" s="1">
        <v>21.79385265700483</v>
      </c>
      <c r="Q17" s="1">
        <v>128.09</v>
      </c>
      <c r="R17" s="1"/>
      <c r="S17" s="1"/>
      <c r="T17" s="1">
        <v>230.54446265938071</v>
      </c>
      <c r="U17" s="1">
        <v>30.41474499089253</v>
      </c>
      <c r="V17" s="1">
        <v>20.836156648451734</v>
      </c>
      <c r="W17" s="1">
        <v>502.95444444444445</v>
      </c>
      <c r="X17" s="1"/>
      <c r="Y17" s="1"/>
      <c r="Z17" s="1">
        <v>217.82880434782612</v>
      </c>
      <c r="AA17" s="1">
        <v>29.103635265700486</v>
      </c>
      <c r="AB17" s="1">
        <v>18.792451690821256</v>
      </c>
      <c r="AC17" s="1">
        <v>257.0311111111111</v>
      </c>
      <c r="AD17" s="1"/>
    </row>
    <row r="18" spans="1:30" x14ac:dyDescent="0.3">
      <c r="A18" t="s">
        <v>26</v>
      </c>
      <c r="B18" s="1">
        <v>244.82502283105021</v>
      </c>
      <c r="C18" s="1">
        <v>31.650577147324725</v>
      </c>
      <c r="D18" s="1">
        <v>19.901948998178501</v>
      </c>
      <c r="E18" s="1">
        <v>852.09999999999991</v>
      </c>
      <c r="F18" s="1"/>
      <c r="G18" s="1"/>
      <c r="H18" s="1">
        <v>254.0832209667295</v>
      </c>
      <c r="I18" s="1">
        <v>31.324143440050225</v>
      </c>
      <c r="J18" s="1">
        <v>17.134515693659765</v>
      </c>
      <c r="K18" s="1">
        <v>8.8888888888888889E-3</v>
      </c>
      <c r="L18" s="1"/>
      <c r="M18" s="1"/>
      <c r="N18" s="1">
        <v>283.1004347826086</v>
      </c>
      <c r="O18" s="1">
        <v>36.502475845410629</v>
      </c>
      <c r="P18" s="1">
        <v>21.769154589371979</v>
      </c>
      <c r="Q18" s="1">
        <v>116.91888888888889</v>
      </c>
      <c r="R18" s="1"/>
      <c r="S18" s="1"/>
      <c r="T18" s="1">
        <v>231.40625683060111</v>
      </c>
      <c r="U18" s="1">
        <v>30.05554644808743</v>
      </c>
      <c r="V18" s="1">
        <v>20.768415300546451</v>
      </c>
      <c r="W18" s="1">
        <v>496.1733333333334</v>
      </c>
      <c r="X18" s="1"/>
      <c r="Y18" s="1"/>
      <c r="Z18" s="1">
        <v>218.3830797101449</v>
      </c>
      <c r="AA18" s="1">
        <v>29.122971014492755</v>
      </c>
      <c r="AB18" s="1">
        <v>18.665712560386471</v>
      </c>
      <c r="AC18" s="1">
        <v>238.99888888888893</v>
      </c>
      <c r="AD18" s="1"/>
    </row>
    <row r="19" spans="1:30" x14ac:dyDescent="0.3">
      <c r="A19" t="s">
        <v>27</v>
      </c>
      <c r="B19" s="1">
        <v>245.17589541798705</v>
      </c>
      <c r="C19" s="1">
        <v>31.614628016069055</v>
      </c>
      <c r="D19" s="1">
        <v>19.827458034949391</v>
      </c>
      <c r="E19" s="1">
        <v>863.21888888888884</v>
      </c>
      <c r="F19" s="1"/>
      <c r="G19" s="1"/>
      <c r="H19" s="1">
        <v>255.16534620213426</v>
      </c>
      <c r="I19" s="1">
        <v>30.994731638418077</v>
      </c>
      <c r="J19" s="1">
        <v>16.895435028248585</v>
      </c>
      <c r="K19" s="1">
        <v>1.0000000000000002E-2</v>
      </c>
      <c r="L19" s="1"/>
      <c r="M19" s="1"/>
      <c r="N19" s="1">
        <v>284.76894927536227</v>
      </c>
      <c r="O19" s="1">
        <v>36.449613526570047</v>
      </c>
      <c r="P19" s="1">
        <v>21.720591787439616</v>
      </c>
      <c r="Q19" s="1">
        <v>113.54333333333335</v>
      </c>
      <c r="R19" s="1"/>
      <c r="S19" s="1"/>
      <c r="T19" s="1">
        <v>230.75652094717668</v>
      </c>
      <c r="U19" s="1">
        <v>30.281666666666663</v>
      </c>
      <c r="V19" s="1">
        <v>20.775400728597447</v>
      </c>
      <c r="W19" s="1">
        <v>506.61222222222227</v>
      </c>
      <c r="X19" s="1"/>
      <c r="Y19" s="1"/>
      <c r="Z19" s="1">
        <v>218.27212560386474</v>
      </c>
      <c r="AA19" s="1">
        <v>28.945338164251211</v>
      </c>
      <c r="AB19" s="1">
        <v>18.563212560386475</v>
      </c>
      <c r="AC19" s="1">
        <v>243.05333333333328</v>
      </c>
      <c r="AD19" s="1"/>
    </row>
    <row r="52" spans="1:29" x14ac:dyDescent="0.3">
      <c r="A52" t="s">
        <v>10</v>
      </c>
      <c r="B52" t="s">
        <v>0</v>
      </c>
      <c r="C52" t="s">
        <v>1</v>
      </c>
      <c r="D52" t="s">
        <v>2</v>
      </c>
      <c r="E52" t="s">
        <v>3</v>
      </c>
      <c r="G52" t="s">
        <v>6</v>
      </c>
      <c r="H52" t="s">
        <v>0</v>
      </c>
      <c r="I52" t="s">
        <v>1</v>
      </c>
      <c r="J52" t="s">
        <v>2</v>
      </c>
      <c r="K52" t="s">
        <v>3</v>
      </c>
      <c r="M52" t="s">
        <v>7</v>
      </c>
      <c r="N52" t="s">
        <v>0</v>
      </c>
      <c r="O52" t="s">
        <v>1</v>
      </c>
      <c r="P52" t="s">
        <v>2</v>
      </c>
      <c r="Q52" t="s">
        <v>3</v>
      </c>
      <c r="S52" t="s">
        <v>5</v>
      </c>
      <c r="T52" t="s">
        <v>0</v>
      </c>
      <c r="U52" t="s">
        <v>1</v>
      </c>
      <c r="V52" t="s">
        <v>2</v>
      </c>
      <c r="W52" t="s">
        <v>3</v>
      </c>
      <c r="Y52" t="s">
        <v>8</v>
      </c>
      <c r="Z52" t="s">
        <v>0</v>
      </c>
      <c r="AA52" t="s">
        <v>1</v>
      </c>
      <c r="AB52" t="s">
        <v>2</v>
      </c>
      <c r="AC52" t="s">
        <v>3</v>
      </c>
    </row>
    <row r="53" spans="1:29" x14ac:dyDescent="0.3">
      <c r="A53" t="s">
        <v>12</v>
      </c>
      <c r="B53" s="1">
        <v>246.82634114080398</v>
      </c>
      <c r="C53" s="1">
        <v>32.854809177333635</v>
      </c>
      <c r="D53" s="1">
        <v>20.251661411782329</v>
      </c>
      <c r="E53" s="1">
        <v>808.26900000000001</v>
      </c>
      <c r="F53" s="1"/>
      <c r="G53" s="1"/>
      <c r="H53" s="1">
        <v>256.29105338983055</v>
      </c>
      <c r="I53" s="1">
        <v>32.410583898305092</v>
      </c>
      <c r="J53" s="1">
        <v>17.759659039548023</v>
      </c>
      <c r="K53" s="1">
        <v>0.11200000000000002</v>
      </c>
      <c r="L53" s="1"/>
      <c r="M53" s="1"/>
      <c r="N53" s="1">
        <v>282.96872826086963</v>
      </c>
      <c r="O53" s="1">
        <v>37.116467391304354</v>
      </c>
      <c r="P53" s="1">
        <v>22.153565217391296</v>
      </c>
      <c r="Q53" s="1">
        <v>152.232</v>
      </c>
      <c r="R53" s="1"/>
      <c r="S53" s="1"/>
      <c r="T53" s="1">
        <v>234.32799999999997</v>
      </c>
      <c r="U53" s="1">
        <v>31.529590163934422</v>
      </c>
      <c r="V53" s="1">
        <v>21.174959016393448</v>
      </c>
      <c r="W53" s="1">
        <v>456.38</v>
      </c>
      <c r="X53" s="1"/>
      <c r="Y53" s="1"/>
      <c r="Z53" s="1">
        <v>217.93827294685991</v>
      </c>
      <c r="AA53" s="1">
        <v>29.9237077294686</v>
      </c>
      <c r="AB53" s="1">
        <v>18.225748792270529</v>
      </c>
      <c r="AC53" s="1">
        <v>246.11333333333329</v>
      </c>
    </row>
    <row r="54" spans="1:29" x14ac:dyDescent="0.3">
      <c r="A54" t="s">
        <v>13</v>
      </c>
      <c r="B54" s="1">
        <v>247.55381129575562</v>
      </c>
      <c r="C54" s="1">
        <v>32.658071726925662</v>
      </c>
      <c r="D54" s="1">
        <v>19.994986885245904</v>
      </c>
      <c r="E54" s="1">
        <v>827.39200000000017</v>
      </c>
      <c r="F54" s="1"/>
      <c r="G54" s="1"/>
      <c r="H54" s="1">
        <v>257.87757259887002</v>
      </c>
      <c r="I54" s="1">
        <v>31.928929943502823</v>
      </c>
      <c r="J54" s="1">
        <v>17.285373163841808</v>
      </c>
      <c r="K54" s="1">
        <v>0.11500000000000002</v>
      </c>
      <c r="L54" s="1"/>
      <c r="M54" s="1"/>
      <c r="N54" s="1">
        <v>285.00828260869571</v>
      </c>
      <c r="O54" s="1">
        <v>36.876369565217381</v>
      </c>
      <c r="P54" s="1">
        <v>21.956152173913043</v>
      </c>
      <c r="Q54" s="1">
        <v>148.77799999999999</v>
      </c>
      <c r="R54" s="1"/>
      <c r="S54" s="1"/>
      <c r="T54" s="1">
        <v>234.05970491803276</v>
      </c>
      <c r="U54" s="1">
        <v>31.612950819672129</v>
      </c>
      <c r="V54" s="1">
        <v>21.03298360655738</v>
      </c>
      <c r="W54" s="1">
        <v>473.70555555555558</v>
      </c>
      <c r="X54" s="1"/>
      <c r="Y54" s="1"/>
      <c r="Z54" s="1">
        <v>218.04388888888892</v>
      </c>
      <c r="AA54" s="1">
        <v>29.569359903381649</v>
      </c>
      <c r="AB54" s="1">
        <v>17.911944444444444</v>
      </c>
      <c r="AC54" s="1">
        <v>257.08222222222219</v>
      </c>
    </row>
    <row r="55" spans="1:29" x14ac:dyDescent="0.3">
      <c r="A55" t="s">
        <v>14</v>
      </c>
      <c r="B55" s="1">
        <v>247.30556430122016</v>
      </c>
      <c r="C55" s="1">
        <v>32.598273912718014</v>
      </c>
      <c r="D55" s="1">
        <v>19.976049262669367</v>
      </c>
      <c r="E55" s="1">
        <v>832.8309999999999</v>
      </c>
      <c r="F55" s="1"/>
      <c r="G55" s="1"/>
      <c r="H55" s="1">
        <v>256.00375564971745</v>
      </c>
      <c r="I55" s="1">
        <v>32.150765254237292</v>
      </c>
      <c r="J55" s="1">
        <v>17.385444350282491</v>
      </c>
      <c r="K55" s="1">
        <v>6.0000000000000012E-2</v>
      </c>
      <c r="L55" s="1"/>
      <c r="M55" s="1"/>
      <c r="N55" s="1">
        <v>283.68127173913041</v>
      </c>
      <c r="O55" s="1">
        <v>37.003510869565218</v>
      </c>
      <c r="P55" s="1">
        <v>21.938510869565214</v>
      </c>
      <c r="Q55" s="1">
        <v>145.001</v>
      </c>
      <c r="R55" s="1"/>
      <c r="S55" s="1"/>
      <c r="T55" s="1">
        <v>234.92426229508197</v>
      </c>
      <c r="U55" s="1">
        <v>31.210385245901648</v>
      </c>
      <c r="V55" s="1">
        <v>20.945819672131144</v>
      </c>
      <c r="W55" s="1">
        <v>496.86222222222216</v>
      </c>
      <c r="X55" s="1"/>
      <c r="Y55" s="1"/>
      <c r="Z55" s="1">
        <v>218.31695652173914</v>
      </c>
      <c r="AA55" s="1">
        <v>29.608852657004832</v>
      </c>
      <c r="AB55" s="1">
        <v>17.894830917874398</v>
      </c>
      <c r="AC55" s="1">
        <v>238.43999999999994</v>
      </c>
    </row>
    <row r="56" spans="1:29" x14ac:dyDescent="0.3">
      <c r="A56" t="s">
        <v>15</v>
      </c>
      <c r="B56" s="1">
        <v>247.99035504154509</v>
      </c>
      <c r="C56" s="1">
        <v>32.45336670409462</v>
      </c>
      <c r="D56" s="1">
        <v>19.788841814507077</v>
      </c>
      <c r="E56" s="1">
        <v>849.33199999999977</v>
      </c>
      <c r="F56" s="1"/>
      <c r="G56" s="1"/>
      <c r="H56" s="1">
        <v>257.49346610169493</v>
      </c>
      <c r="I56" s="1">
        <v>31.721629661016948</v>
      </c>
      <c r="J56" s="1">
        <v>16.984240960451977</v>
      </c>
      <c r="K56" s="1">
        <v>6.0000000000000012E-2</v>
      </c>
      <c r="L56" s="1"/>
      <c r="M56" s="1"/>
      <c r="N56" s="1">
        <v>285.6539239130434</v>
      </c>
      <c r="O56" s="1">
        <v>36.811076086956518</v>
      </c>
      <c r="P56" s="1">
        <v>21.807750000000006</v>
      </c>
      <c r="Q56" s="1">
        <v>143.119</v>
      </c>
      <c r="R56" s="1"/>
      <c r="S56" s="1"/>
      <c r="T56" s="1">
        <v>234.65604098360654</v>
      </c>
      <c r="U56" s="1">
        <v>31.340639344262293</v>
      </c>
      <c r="V56" s="1">
        <v>20.870622950819673</v>
      </c>
      <c r="W56" s="1">
        <v>512.83777777777777</v>
      </c>
      <c r="X56" s="1"/>
      <c r="Y56" s="1"/>
      <c r="Z56" s="1">
        <v>218.37219806763289</v>
      </c>
      <c r="AA56" s="1">
        <v>29.318103864734294</v>
      </c>
      <c r="AB56" s="1">
        <v>17.655132850241543</v>
      </c>
      <c r="AC56" s="1">
        <v>245.67333333333337</v>
      </c>
    </row>
    <row r="57" spans="1:29" x14ac:dyDescent="0.3">
      <c r="A57" t="s">
        <v>16</v>
      </c>
      <c r="B57" s="1">
        <v>247.72831557751329</v>
      </c>
      <c r="C57" s="1">
        <v>32.375070274721161</v>
      </c>
      <c r="D57" s="1">
        <v>19.756115270604081</v>
      </c>
      <c r="E57" s="1">
        <v>840.39599999999996</v>
      </c>
      <c r="F57" s="1"/>
      <c r="G57" s="1"/>
      <c r="H57" s="1">
        <v>255.6849850282486</v>
      </c>
      <c r="I57" s="1">
        <v>31.919193220338986</v>
      </c>
      <c r="J57" s="1">
        <v>17.059258757062146</v>
      </c>
      <c r="K57" s="1">
        <v>6.9000000000000006E-2</v>
      </c>
      <c r="L57" s="1"/>
      <c r="M57" s="1"/>
      <c r="N57" s="1">
        <v>284.27873913043476</v>
      </c>
      <c r="O57" s="1">
        <v>36.93016304347826</v>
      </c>
      <c r="P57" s="1">
        <v>21.833010869565221</v>
      </c>
      <c r="Q57" s="1">
        <v>133.31099999999998</v>
      </c>
      <c r="R57" s="1"/>
      <c r="S57" s="1"/>
      <c r="T57" s="1">
        <v>235.44482786885246</v>
      </c>
      <c r="U57" s="1">
        <v>30.935131147540982</v>
      </c>
      <c r="V57" s="1">
        <v>20.760557377049185</v>
      </c>
      <c r="W57" s="1">
        <v>524.96</v>
      </c>
      <c r="X57" s="1"/>
      <c r="Y57" s="1"/>
      <c r="Z57" s="1">
        <v>218.72483091787444</v>
      </c>
      <c r="AA57" s="1">
        <v>29.313260869565212</v>
      </c>
      <c r="AB57" s="1">
        <v>17.586280193236714</v>
      </c>
      <c r="AC57" s="1">
        <v>230.37111111111113</v>
      </c>
    </row>
    <row r="58" spans="1:29" x14ac:dyDescent="0.3">
      <c r="A58" t="s">
        <v>17</v>
      </c>
      <c r="B58" s="1">
        <v>248.36773947151727</v>
      </c>
      <c r="C58" s="1">
        <v>32.377083846096262</v>
      </c>
      <c r="D58" s="1">
        <v>19.7257841230631</v>
      </c>
      <c r="E58" s="1">
        <v>853.26299999999992</v>
      </c>
      <c r="F58" s="1"/>
      <c r="G58" s="1"/>
      <c r="H58" s="1">
        <v>257.06340282485877</v>
      </c>
      <c r="I58" s="1">
        <v>31.640558474576274</v>
      </c>
      <c r="J58" s="1">
        <v>16.821220903954803</v>
      </c>
      <c r="K58" s="1">
        <v>8.199999999999999E-2</v>
      </c>
      <c r="L58" s="1"/>
      <c r="M58" s="1"/>
      <c r="N58" s="1">
        <v>286.18435869565218</v>
      </c>
      <c r="O58" s="1">
        <v>36.883532608695653</v>
      </c>
      <c r="P58" s="1">
        <v>21.853304347826089</v>
      </c>
      <c r="Q58" s="1">
        <v>132.34800000000001</v>
      </c>
      <c r="R58" s="1"/>
      <c r="S58" s="1"/>
      <c r="T58" s="1">
        <v>235.17106557377042</v>
      </c>
      <c r="U58" s="1">
        <v>31.207467213114757</v>
      </c>
      <c r="V58" s="1">
        <v>20.842196721311481</v>
      </c>
      <c r="W58" s="1">
        <v>539.04666666666662</v>
      </c>
      <c r="X58" s="1"/>
      <c r="Y58" s="1"/>
      <c r="Z58" s="1">
        <v>218.73898550724638</v>
      </c>
      <c r="AA58" s="1">
        <v>29.176497584541064</v>
      </c>
      <c r="AB58" s="1">
        <v>17.505821256038647</v>
      </c>
      <c r="AC58" s="1">
        <v>234.44111111111104</v>
      </c>
    </row>
    <row r="59" spans="1:29" x14ac:dyDescent="0.3">
      <c r="A59" t="s">
        <v>18</v>
      </c>
      <c r="B59" s="1">
        <v>247.99142202260651</v>
      </c>
      <c r="C59" s="1">
        <v>32.352563230780753</v>
      </c>
      <c r="D59" s="1">
        <v>19.73455730967887</v>
      </c>
      <c r="E59" s="1">
        <v>824.64299999999969</v>
      </c>
      <c r="F59" s="1"/>
      <c r="G59" s="1"/>
      <c r="H59" s="1">
        <v>255.2295511299435</v>
      </c>
      <c r="I59" s="1">
        <v>31.876598587570623</v>
      </c>
      <c r="J59" s="1">
        <v>16.923452259887007</v>
      </c>
      <c r="K59" s="1">
        <v>8.3999999999999991E-2</v>
      </c>
      <c r="L59" s="1"/>
      <c r="M59" s="1"/>
      <c r="N59" s="1">
        <v>284.56380434782608</v>
      </c>
      <c r="O59" s="1">
        <v>37.061989130434782</v>
      </c>
      <c r="P59" s="1">
        <v>21.944923913043475</v>
      </c>
      <c r="Q59" s="1">
        <v>119.774</v>
      </c>
      <c r="R59" s="1"/>
      <c r="S59" s="1"/>
      <c r="T59" s="1">
        <v>235.85717213114762</v>
      </c>
      <c r="U59" s="1">
        <v>30.87688524590164</v>
      </c>
      <c r="V59" s="1">
        <v>20.775893442622948</v>
      </c>
      <c r="W59" s="1">
        <v>529.68555555555542</v>
      </c>
      <c r="X59" s="1"/>
      <c r="Y59" s="1"/>
      <c r="Z59" s="1">
        <v>219.09625603864731</v>
      </c>
      <c r="AA59" s="1">
        <v>29.200760869565222</v>
      </c>
      <c r="AB59" s="1">
        <v>17.454927536231885</v>
      </c>
      <c r="AC59" s="1">
        <v>220.63333333333333</v>
      </c>
    </row>
    <row r="60" spans="1:29" x14ac:dyDescent="0.3">
      <c r="A60" t="s">
        <v>19</v>
      </c>
      <c r="B60" s="1">
        <v>248.57794460663231</v>
      </c>
      <c r="C60" s="1">
        <v>32.315544299723044</v>
      </c>
      <c r="D60" s="1">
        <v>19.666310689422858</v>
      </c>
      <c r="E60" s="1">
        <v>833.85299999999984</v>
      </c>
      <c r="F60" s="1"/>
      <c r="G60" s="1"/>
      <c r="H60" s="1">
        <v>256.48980310734458</v>
      </c>
      <c r="I60" s="1">
        <v>31.565680508474571</v>
      </c>
      <c r="J60" s="1">
        <v>16.654488700564976</v>
      </c>
      <c r="K60" s="1">
        <v>0.11700000000000002</v>
      </c>
      <c r="L60" s="1"/>
      <c r="M60" s="1"/>
      <c r="N60" s="1">
        <v>286.39157608695643</v>
      </c>
      <c r="O60" s="1">
        <v>36.978445652173917</v>
      </c>
      <c r="P60" s="1">
        <v>21.918880434782604</v>
      </c>
      <c r="Q60" s="1">
        <v>119.10500000000002</v>
      </c>
      <c r="R60" s="1"/>
      <c r="S60" s="1"/>
      <c r="T60" s="1">
        <v>235.55990163934425</v>
      </c>
      <c r="U60" s="1">
        <v>31.103549180327871</v>
      </c>
      <c r="V60" s="1">
        <v>20.821557377049182</v>
      </c>
      <c r="W60" s="1">
        <v>541.31000000000006</v>
      </c>
      <c r="X60" s="1"/>
      <c r="Y60" s="1"/>
      <c r="Z60" s="1">
        <v>219.08671497584538</v>
      </c>
      <c r="AA60" s="1">
        <v>29.02778985507247</v>
      </c>
      <c r="AB60" s="1">
        <v>17.338285024154587</v>
      </c>
      <c r="AC60" s="1">
        <v>222.68444444444447</v>
      </c>
    </row>
    <row r="61" spans="1:29" x14ac:dyDescent="0.3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</row>
    <row r="62" spans="1:29" x14ac:dyDescent="0.3">
      <c r="A62" t="s">
        <v>20</v>
      </c>
      <c r="B62" s="1">
        <v>246.70296955610456</v>
      </c>
      <c r="C62" s="1">
        <v>33.040463455348458</v>
      </c>
      <c r="D62" s="1">
        <v>21.42289931881129</v>
      </c>
      <c r="E62" s="1">
        <v>913.83400000000006</v>
      </c>
      <c r="F62" s="1"/>
      <c r="G62" s="1"/>
      <c r="H62" s="1">
        <v>254.49035282485875</v>
      </c>
      <c r="I62" s="1">
        <v>32.638678248587567</v>
      </c>
      <c r="J62" s="1">
        <v>19.214243502824861</v>
      </c>
      <c r="K62" s="1">
        <v>0.23199999999999993</v>
      </c>
      <c r="L62" s="1"/>
      <c r="M62" s="1"/>
      <c r="N62" s="1">
        <v>283.62684782608693</v>
      </c>
      <c r="O62" s="1">
        <v>37.18996739130435</v>
      </c>
      <c r="P62" s="1">
        <v>23.22753260869565</v>
      </c>
      <c r="Q62" s="1">
        <v>161.59700000000004</v>
      </c>
      <c r="R62" s="1"/>
      <c r="S62" s="1"/>
      <c r="T62" s="1">
        <v>235.47131967213122</v>
      </c>
      <c r="U62" s="1">
        <v>31.798000000000002</v>
      </c>
      <c r="V62" s="1">
        <v>21.920524590163936</v>
      </c>
      <c r="W62" s="1">
        <v>418.10111111111109</v>
      </c>
      <c r="X62" s="1"/>
      <c r="Y62" s="1"/>
      <c r="Z62" s="1">
        <v>217.16803140096616</v>
      </c>
      <c r="AA62" s="1">
        <v>29.996316425120767</v>
      </c>
      <c r="AB62" s="1">
        <v>19.588140096618361</v>
      </c>
      <c r="AC62" s="1">
        <v>270.92333333333329</v>
      </c>
    </row>
    <row r="63" spans="1:29" x14ac:dyDescent="0.3">
      <c r="A63" t="s">
        <v>21</v>
      </c>
      <c r="B63" s="1">
        <v>247.31518143573621</v>
      </c>
      <c r="C63" s="1">
        <v>32.82942339995509</v>
      </c>
      <c r="D63" s="1">
        <v>21.164186690620561</v>
      </c>
      <c r="E63" s="1">
        <v>944.28999999999974</v>
      </c>
      <c r="F63" s="1"/>
      <c r="G63" s="1"/>
      <c r="H63" s="1">
        <v>255.83391977401124</v>
      </c>
      <c r="I63" s="1">
        <v>32.142391807909611</v>
      </c>
      <c r="J63" s="1">
        <v>18.789491525423728</v>
      </c>
      <c r="K63" s="1">
        <v>0.23700000000000002</v>
      </c>
      <c r="L63" s="1"/>
      <c r="M63" s="1"/>
      <c r="N63" s="1">
        <v>285.42258695652174</v>
      </c>
      <c r="O63" s="1">
        <v>36.929489130434789</v>
      </c>
      <c r="P63" s="1">
        <v>23.012358695652175</v>
      </c>
      <c r="Q63" s="1">
        <v>159.35899999999998</v>
      </c>
      <c r="R63" s="1"/>
      <c r="S63" s="1"/>
      <c r="T63" s="1">
        <v>235.19765573770502</v>
      </c>
      <c r="U63" s="1">
        <v>31.867213114754094</v>
      </c>
      <c r="V63" s="1">
        <v>21.753868852459014</v>
      </c>
      <c r="W63" s="1">
        <v>432.23</v>
      </c>
      <c r="X63" s="1"/>
      <c r="Y63" s="1"/>
      <c r="Z63" s="1">
        <v>217.20605072463766</v>
      </c>
      <c r="AA63" s="1">
        <v>29.64057971014493</v>
      </c>
      <c r="AB63" s="1">
        <v>19.313937198067634</v>
      </c>
      <c r="AC63" s="1">
        <v>283.74999999999994</v>
      </c>
    </row>
    <row r="64" spans="1:29" x14ac:dyDescent="0.3">
      <c r="A64" t="s">
        <v>22</v>
      </c>
      <c r="B64" s="1">
        <v>247.24417350101061</v>
      </c>
      <c r="C64" s="1">
        <v>32.788769391421511</v>
      </c>
      <c r="D64" s="1">
        <v>21.126712164084143</v>
      </c>
      <c r="E64" s="1">
        <v>940.25600000000009</v>
      </c>
      <c r="F64" s="1"/>
      <c r="G64" s="1"/>
      <c r="H64" s="1">
        <v>254.35095254237291</v>
      </c>
      <c r="I64" s="1">
        <v>32.390934745762713</v>
      </c>
      <c r="J64" s="1">
        <v>18.862252542372879</v>
      </c>
      <c r="K64" s="1">
        <v>0.158</v>
      </c>
      <c r="L64" s="1"/>
      <c r="M64" s="1"/>
      <c r="N64" s="1">
        <v>284.46542391304342</v>
      </c>
      <c r="O64" s="1">
        <v>37.077684782608692</v>
      </c>
      <c r="P64" s="1">
        <v>22.973467391304347</v>
      </c>
      <c r="Q64" s="1">
        <v>155.16300000000001</v>
      </c>
      <c r="R64" s="1"/>
      <c r="S64" s="1"/>
      <c r="T64" s="1">
        <v>236.11203278688527</v>
      </c>
      <c r="U64" s="1">
        <v>31.480737704918035</v>
      </c>
      <c r="V64" s="1">
        <v>21.655532786885246</v>
      </c>
      <c r="W64" s="1">
        <v>455.9422222222222</v>
      </c>
      <c r="X64" s="1"/>
      <c r="Y64" s="1"/>
      <c r="Z64" s="1">
        <v>217.70396135265696</v>
      </c>
      <c r="AA64" s="1">
        <v>29.681026570048314</v>
      </c>
      <c r="AB64" s="1">
        <v>19.226557971014497</v>
      </c>
      <c r="AC64" s="1">
        <v>262.00333333333333</v>
      </c>
    </row>
    <row r="65" spans="1:29" x14ac:dyDescent="0.3">
      <c r="A65" t="s">
        <v>23</v>
      </c>
      <c r="B65" s="1">
        <v>247.81418874167224</v>
      </c>
      <c r="C65" s="1">
        <v>32.629442929860005</v>
      </c>
      <c r="D65" s="1">
        <v>20.935976622501688</v>
      </c>
      <c r="E65" s="1">
        <v>968.07299999999998</v>
      </c>
      <c r="F65" s="1"/>
      <c r="G65" s="1"/>
      <c r="H65" s="1">
        <v>255.57246045197743</v>
      </c>
      <c r="I65" s="1">
        <v>31.945813276836162</v>
      </c>
      <c r="J65" s="1">
        <v>18.508420903954804</v>
      </c>
      <c r="K65" s="1">
        <v>0.152</v>
      </c>
      <c r="L65" s="1"/>
      <c r="M65" s="1"/>
      <c r="N65" s="1">
        <v>286.19051086956534</v>
      </c>
      <c r="O65" s="1">
        <v>36.866076086956525</v>
      </c>
      <c r="P65" s="1">
        <v>22.828902173913043</v>
      </c>
      <c r="Q65" s="1">
        <v>154.89799999999997</v>
      </c>
      <c r="R65" s="1"/>
      <c r="S65" s="1"/>
      <c r="T65" s="1">
        <v>235.85107377049181</v>
      </c>
      <c r="U65" s="1">
        <v>31.595885245901645</v>
      </c>
      <c r="V65" s="1">
        <v>21.553483606557375</v>
      </c>
      <c r="W65" s="1">
        <v>469.28111111111116</v>
      </c>
      <c r="X65" s="1"/>
      <c r="Y65" s="1"/>
      <c r="Z65" s="1">
        <v>217.69422705314005</v>
      </c>
      <c r="AA65" s="1">
        <v>29.387886473429951</v>
      </c>
      <c r="AB65" s="1">
        <v>19.022306763285027</v>
      </c>
      <c r="AC65" s="1">
        <v>270.69555555555553</v>
      </c>
    </row>
    <row r="66" spans="1:29" x14ac:dyDescent="0.3">
      <c r="A66" t="s">
        <v>24</v>
      </c>
      <c r="B66" s="1">
        <v>247.72520084587171</v>
      </c>
      <c r="C66" s="1">
        <v>32.576658544801262</v>
      </c>
      <c r="D66" s="1">
        <v>20.85990044164982</v>
      </c>
      <c r="E66" s="1">
        <v>945.2299999999999</v>
      </c>
      <c r="F66" s="1"/>
      <c r="G66" s="1"/>
      <c r="H66" s="1">
        <v>254.1418395480226</v>
      </c>
      <c r="I66" s="1">
        <v>32.164769209039541</v>
      </c>
      <c r="J66" s="1">
        <v>18.534284180790959</v>
      </c>
      <c r="K66" s="1">
        <v>0.17000000000000004</v>
      </c>
      <c r="L66" s="1"/>
      <c r="M66" s="1"/>
      <c r="N66" s="1">
        <v>285.21982608695657</v>
      </c>
      <c r="O66" s="1">
        <v>37.018097826086951</v>
      </c>
      <c r="P66" s="1">
        <v>22.75692391304348</v>
      </c>
      <c r="Q66" s="1">
        <v>144.24799999999999</v>
      </c>
      <c r="R66" s="1"/>
      <c r="S66" s="1"/>
      <c r="T66" s="1">
        <v>236.68874590163932</v>
      </c>
      <c r="U66" s="1">
        <v>31.216606557377055</v>
      </c>
      <c r="V66" s="1">
        <v>21.432942622950819</v>
      </c>
      <c r="W66" s="1">
        <v>482.17666666666668</v>
      </c>
      <c r="X66" s="1"/>
      <c r="Y66" s="1"/>
      <c r="Z66" s="1">
        <v>218.24380434782609</v>
      </c>
      <c r="AA66" s="1">
        <v>29.381388888888889</v>
      </c>
      <c r="AB66" s="1">
        <v>18.865688405797101</v>
      </c>
      <c r="AC66" s="1">
        <v>251.55777777777777</v>
      </c>
    </row>
    <row r="67" spans="1:29" x14ac:dyDescent="0.3">
      <c r="A67" t="s">
        <v>25</v>
      </c>
      <c r="B67" s="1">
        <v>248.2572456920428</v>
      </c>
      <c r="C67" s="1">
        <v>32.563939239464034</v>
      </c>
      <c r="D67" s="1">
        <v>20.825386159143644</v>
      </c>
      <c r="E67" s="1">
        <v>968.55</v>
      </c>
      <c r="F67" s="1"/>
      <c r="G67" s="1"/>
      <c r="H67" s="1">
        <v>255.23592881355938</v>
      </c>
      <c r="I67" s="1">
        <v>31.868083615819206</v>
      </c>
      <c r="J67" s="1">
        <v>18.34261242937853</v>
      </c>
      <c r="K67" s="1">
        <v>0.18800000000000003</v>
      </c>
      <c r="L67" s="1"/>
      <c r="M67" s="1"/>
      <c r="N67" s="1">
        <v>286.88422826086952</v>
      </c>
      <c r="O67" s="1">
        <v>36.952249999999999</v>
      </c>
      <c r="P67" s="1">
        <v>22.767717391304352</v>
      </c>
      <c r="Q67" s="1">
        <v>144.84199999999998</v>
      </c>
      <c r="R67" s="1"/>
      <c r="S67" s="1"/>
      <c r="T67" s="1">
        <v>236.44236065573767</v>
      </c>
      <c r="U67" s="1">
        <v>31.473565573770497</v>
      </c>
      <c r="V67" s="1">
        <v>21.487327868852457</v>
      </c>
      <c r="W67" s="1">
        <v>494.28222222222223</v>
      </c>
      <c r="X67" s="1"/>
      <c r="Y67" s="1"/>
      <c r="Z67" s="1">
        <v>218.19765700483094</v>
      </c>
      <c r="AA67" s="1">
        <v>29.24085748792271</v>
      </c>
      <c r="AB67" s="1">
        <v>18.810785024154587</v>
      </c>
      <c r="AC67" s="1">
        <v>256.53888888888889</v>
      </c>
    </row>
    <row r="68" spans="1:29" x14ac:dyDescent="0.3">
      <c r="A68" t="s">
        <v>26</v>
      </c>
      <c r="B68" s="1">
        <v>248.01007029717795</v>
      </c>
      <c r="C68" s="1">
        <v>32.56489841305487</v>
      </c>
      <c r="D68" s="1">
        <v>20.790672482970287</v>
      </c>
      <c r="E68" s="1">
        <v>921.61399999999981</v>
      </c>
      <c r="F68" s="1"/>
      <c r="G68" s="1"/>
      <c r="H68" s="1">
        <v>253.71011723163838</v>
      </c>
      <c r="I68" s="1">
        <v>32.121655932203382</v>
      </c>
      <c r="J68" s="1">
        <v>18.404311864406779</v>
      </c>
      <c r="K68" s="1">
        <v>0.193</v>
      </c>
      <c r="L68" s="1"/>
      <c r="M68" s="1"/>
      <c r="N68" s="1">
        <v>285.61392391304344</v>
      </c>
      <c r="O68" s="1">
        <v>37.164293478260873</v>
      </c>
      <c r="P68" s="1">
        <v>22.743282608695651</v>
      </c>
      <c r="Q68" s="1">
        <v>131.77500000000001</v>
      </c>
      <c r="R68" s="1"/>
      <c r="S68" s="1"/>
      <c r="T68" s="1">
        <v>237.16227868852462</v>
      </c>
      <c r="U68" s="1">
        <v>31.172770491803284</v>
      </c>
      <c r="V68" s="1">
        <v>21.416696721311475</v>
      </c>
      <c r="W68" s="1">
        <v>487.73555555555544</v>
      </c>
      <c r="X68" s="1"/>
      <c r="Y68" s="1"/>
      <c r="Z68" s="1">
        <v>218.68340579710144</v>
      </c>
      <c r="AA68" s="1">
        <v>29.260048309178746</v>
      </c>
      <c r="AB68" s="1">
        <v>18.680797101449276</v>
      </c>
      <c r="AC68" s="1">
        <v>239.5566666666667</v>
      </c>
    </row>
    <row r="69" spans="1:29" x14ac:dyDescent="0.3">
      <c r="A69" t="s">
        <v>27</v>
      </c>
      <c r="B69" s="1">
        <v>248.49876114230111</v>
      </c>
      <c r="C69" s="1">
        <v>32.513268530578628</v>
      </c>
      <c r="D69" s="1">
        <v>20.720036896474291</v>
      </c>
      <c r="E69" s="1">
        <v>939.7940000000001</v>
      </c>
      <c r="F69" s="1"/>
      <c r="G69" s="1"/>
      <c r="H69" s="1">
        <v>254.68295395480226</v>
      </c>
      <c r="I69" s="1">
        <v>31.789897740112991</v>
      </c>
      <c r="J69" s="1">
        <v>18.180580225988699</v>
      </c>
      <c r="K69" s="1">
        <v>0.246</v>
      </c>
      <c r="L69" s="1"/>
      <c r="M69" s="1"/>
      <c r="N69" s="1">
        <v>287.21026086956522</v>
      </c>
      <c r="O69" s="1">
        <v>37.063043478260866</v>
      </c>
      <c r="P69" s="1">
        <v>22.714565217391307</v>
      </c>
      <c r="Q69" s="1">
        <v>132.25400000000002</v>
      </c>
      <c r="R69" s="1"/>
      <c r="S69" s="1"/>
      <c r="T69" s="1">
        <v>236.91092622950814</v>
      </c>
      <c r="U69" s="1">
        <v>31.384434426229507</v>
      </c>
      <c r="V69" s="1">
        <v>21.437040983606554</v>
      </c>
      <c r="W69" s="1">
        <v>498.36555555555555</v>
      </c>
      <c r="X69" s="1"/>
      <c r="Y69" s="1"/>
      <c r="Z69" s="1">
        <v>218.61613526570048</v>
      </c>
      <c r="AA69" s="1">
        <v>29.08271739130435</v>
      </c>
      <c r="AB69" s="1">
        <v>18.57786231884058</v>
      </c>
      <c r="AC69" s="1">
        <v>241.98444444444442</v>
      </c>
    </row>
    <row r="103" spans="1:29" x14ac:dyDescent="0.3">
      <c r="A103" t="s">
        <v>11</v>
      </c>
      <c r="B103" t="s">
        <v>0</v>
      </c>
      <c r="C103" t="s">
        <v>1</v>
      </c>
      <c r="D103" t="s">
        <v>2</v>
      </c>
      <c r="E103" t="s">
        <v>3</v>
      </c>
      <c r="G103" t="s">
        <v>6</v>
      </c>
      <c r="H103" t="s">
        <v>0</v>
      </c>
      <c r="I103" t="s">
        <v>1</v>
      </c>
      <c r="J103" t="s">
        <v>2</v>
      </c>
      <c r="K103" t="s">
        <v>3</v>
      </c>
      <c r="M103" t="s">
        <v>7</v>
      </c>
      <c r="N103" t="s">
        <v>0</v>
      </c>
      <c r="O103" t="s">
        <v>1</v>
      </c>
      <c r="P103" t="s">
        <v>2</v>
      </c>
      <c r="Q103" t="s">
        <v>3</v>
      </c>
      <c r="S103" t="s">
        <v>5</v>
      </c>
      <c r="T103" t="s">
        <v>0</v>
      </c>
      <c r="U103" t="s">
        <v>1</v>
      </c>
      <c r="V103" t="s">
        <v>2</v>
      </c>
      <c r="W103" t="s">
        <v>3</v>
      </c>
      <c r="Y103" t="s">
        <v>8</v>
      </c>
      <c r="Z103" t="s">
        <v>0</v>
      </c>
      <c r="AA103" t="s">
        <v>1</v>
      </c>
      <c r="AB103" t="s">
        <v>2</v>
      </c>
      <c r="AC103" t="s">
        <v>3</v>
      </c>
    </row>
    <row r="104" spans="1:29" x14ac:dyDescent="0.3">
      <c r="A104" t="s">
        <v>12</v>
      </c>
      <c r="B104" s="1">
        <v>249.2414821393817</v>
      </c>
      <c r="C104" s="1">
        <v>33.11714174713677</v>
      </c>
      <c r="D104" s="1">
        <v>20.60983614791526</v>
      </c>
      <c r="E104" s="1">
        <v>833.23099999999999</v>
      </c>
      <c r="F104" s="1"/>
      <c r="G104" s="1"/>
      <c r="H104" s="1">
        <v>255.1793355932204</v>
      </c>
      <c r="I104" s="1">
        <v>32.47582316384181</v>
      </c>
      <c r="J104" s="1">
        <v>18.148348870056498</v>
      </c>
      <c r="K104" s="1">
        <v>5.1000000000000004E-2</v>
      </c>
      <c r="L104" s="1"/>
      <c r="M104" s="1"/>
      <c r="N104" s="1">
        <v>286.10247826086959</v>
      </c>
      <c r="O104" s="1">
        <v>37.280054347826095</v>
      </c>
      <c r="P104" s="1">
        <v>22.375750000000004</v>
      </c>
      <c r="Q104" s="1">
        <v>151.10399999999998</v>
      </c>
      <c r="R104" s="1"/>
      <c r="S104" s="1"/>
      <c r="T104" s="1">
        <v>238.10839344262294</v>
      </c>
      <c r="U104" s="1">
        <v>32.042770491803289</v>
      </c>
      <c r="V104" s="1">
        <v>21.564836065573772</v>
      </c>
      <c r="W104" s="1">
        <v>465.39888888888891</v>
      </c>
      <c r="X104" s="1"/>
      <c r="Y104" s="1"/>
      <c r="Z104" s="1">
        <v>218.24398550724641</v>
      </c>
      <c r="AA104" s="1">
        <v>29.978224637681155</v>
      </c>
      <c r="AB104" s="1">
        <v>18.2362077294686</v>
      </c>
      <c r="AC104" s="1">
        <v>231.68444444444444</v>
      </c>
    </row>
    <row r="105" spans="1:29" x14ac:dyDescent="0.3">
      <c r="A105" t="s">
        <v>13</v>
      </c>
      <c r="B105" s="1">
        <v>249.94063932180561</v>
      </c>
      <c r="C105" s="1">
        <v>32.916887813459098</v>
      </c>
      <c r="D105" s="1">
        <v>20.365074893330341</v>
      </c>
      <c r="E105" s="1">
        <v>859.97199999999998</v>
      </c>
      <c r="F105" s="1"/>
      <c r="G105" s="1"/>
      <c r="H105" s="1">
        <v>256.65135028248579</v>
      </c>
      <c r="I105" s="1">
        <v>31.989578531073441</v>
      </c>
      <c r="J105" s="1">
        <v>17.689650847457628</v>
      </c>
      <c r="K105" s="1">
        <v>5.2000000000000005E-2</v>
      </c>
      <c r="L105" s="1"/>
      <c r="M105" s="1"/>
      <c r="N105" s="1">
        <v>288.25543478260869</v>
      </c>
      <c r="O105" s="1">
        <v>37.044250000000005</v>
      </c>
      <c r="P105" s="1">
        <v>22.198728260869565</v>
      </c>
      <c r="Q105" s="1">
        <v>148.42900000000003</v>
      </c>
      <c r="R105" s="1"/>
      <c r="S105" s="1"/>
      <c r="T105" s="1">
        <v>237.82821311475413</v>
      </c>
      <c r="U105" s="1">
        <v>32.117663934426233</v>
      </c>
      <c r="V105" s="1">
        <v>21.424893442622952</v>
      </c>
      <c r="W105" s="1">
        <v>483.76222222222231</v>
      </c>
      <c r="X105" s="1"/>
      <c r="Y105" s="1"/>
      <c r="Z105" s="1">
        <v>218.33253623188409</v>
      </c>
      <c r="AA105" s="1">
        <v>29.624867149758458</v>
      </c>
      <c r="AB105" s="1">
        <v>17.915289855072459</v>
      </c>
      <c r="AC105" s="1">
        <v>242.62777777777774</v>
      </c>
    </row>
    <row r="106" spans="1:29" x14ac:dyDescent="0.3">
      <c r="A106" t="s">
        <v>14</v>
      </c>
      <c r="B106" s="1">
        <v>249.74372610973873</v>
      </c>
      <c r="C106" s="1">
        <v>32.874563867055919</v>
      </c>
      <c r="D106" s="1">
        <v>20.351302335504155</v>
      </c>
      <c r="E106" s="1">
        <v>862.55300000000011</v>
      </c>
      <c r="F106" s="1"/>
      <c r="G106" s="1"/>
      <c r="H106" s="1">
        <v>255.129361299435</v>
      </c>
      <c r="I106" s="1">
        <v>32.230108474576269</v>
      </c>
      <c r="J106" s="1">
        <v>17.780512146892658</v>
      </c>
      <c r="K106" s="1">
        <v>2.6000000000000002E-2</v>
      </c>
      <c r="L106" s="1"/>
      <c r="M106" s="1"/>
      <c r="N106" s="1">
        <v>286.86844565217388</v>
      </c>
      <c r="O106" s="1">
        <v>37.18496739130434</v>
      </c>
      <c r="P106" s="1">
        <v>22.18942391304348</v>
      </c>
      <c r="Q106" s="1">
        <v>145.244</v>
      </c>
      <c r="R106" s="1"/>
      <c r="S106" s="1"/>
      <c r="T106" s="1">
        <v>238.68402459016392</v>
      </c>
      <c r="U106" s="1">
        <v>31.749737704918026</v>
      </c>
      <c r="V106" s="1">
        <v>21.354778688524583</v>
      </c>
      <c r="W106" s="1">
        <v>507.6922222222222</v>
      </c>
      <c r="X106" s="1"/>
      <c r="Y106" s="1"/>
      <c r="Z106" s="1">
        <v>218.61800724637683</v>
      </c>
      <c r="AA106" s="1">
        <v>29.663224637681164</v>
      </c>
      <c r="AB106" s="1">
        <v>17.900362318840578</v>
      </c>
      <c r="AC106" s="1">
        <v>223.59666666666666</v>
      </c>
    </row>
    <row r="107" spans="1:29" x14ac:dyDescent="0.3">
      <c r="A107" t="s">
        <v>15</v>
      </c>
      <c r="B107" s="1">
        <v>250.3936605808818</v>
      </c>
      <c r="C107" s="1">
        <v>32.727217179429601</v>
      </c>
      <c r="D107" s="1">
        <v>20.179316670409456</v>
      </c>
      <c r="E107" s="1">
        <v>886.86500000000001</v>
      </c>
      <c r="F107" s="1"/>
      <c r="G107" s="1"/>
      <c r="H107" s="1">
        <v>256.53441807909604</v>
      </c>
      <c r="I107" s="1">
        <v>31.796797740113</v>
      </c>
      <c r="J107" s="1">
        <v>17.394506497175136</v>
      </c>
      <c r="K107" s="1">
        <v>1.9999999999999997E-2</v>
      </c>
      <c r="L107" s="1"/>
      <c r="M107" s="1"/>
      <c r="N107" s="1">
        <v>288.9315869565217</v>
      </c>
      <c r="O107" s="1">
        <v>36.999315217391306</v>
      </c>
      <c r="P107" s="1">
        <v>22.087728260869568</v>
      </c>
      <c r="Q107" s="1">
        <v>144.31199999999998</v>
      </c>
      <c r="R107" s="1"/>
      <c r="S107" s="1"/>
      <c r="T107" s="1">
        <v>238.38818852459008</v>
      </c>
      <c r="U107" s="1">
        <v>31.872122950819669</v>
      </c>
      <c r="V107" s="1">
        <v>21.283131147540985</v>
      </c>
      <c r="W107" s="1">
        <v>524.64333333333332</v>
      </c>
      <c r="X107" s="1"/>
      <c r="Y107" s="1"/>
      <c r="Z107" s="1">
        <v>218.65667874396138</v>
      </c>
      <c r="AA107" s="1">
        <v>29.373345410628012</v>
      </c>
      <c r="AB107" s="1">
        <v>17.653321256038645</v>
      </c>
      <c r="AC107" s="1">
        <v>231.00111111111113</v>
      </c>
    </row>
    <row r="108" spans="1:29" x14ac:dyDescent="0.3">
      <c r="A108" t="s">
        <v>16</v>
      </c>
      <c r="B108" s="1">
        <v>250.19856962347481</v>
      </c>
      <c r="C108" s="1">
        <v>32.661266172617715</v>
      </c>
      <c r="D108" s="1">
        <v>20.144376480275476</v>
      </c>
      <c r="E108" s="1">
        <v>872.65699999999981</v>
      </c>
      <c r="F108" s="1"/>
      <c r="G108" s="1"/>
      <c r="H108" s="1">
        <v>255.02108983050852</v>
      </c>
      <c r="I108" s="1">
        <v>32.005374858757065</v>
      </c>
      <c r="J108" s="1">
        <v>17.456468926553669</v>
      </c>
      <c r="K108" s="1">
        <v>1.4000000000000002E-2</v>
      </c>
      <c r="L108" s="1"/>
      <c r="M108" s="1"/>
      <c r="N108" s="1">
        <v>287.50710869565216</v>
      </c>
      <c r="O108" s="1">
        <v>37.114347826086956</v>
      </c>
      <c r="P108" s="1">
        <v>22.093923913043476</v>
      </c>
      <c r="Q108" s="1">
        <v>133.45700000000005</v>
      </c>
      <c r="R108" s="1"/>
      <c r="S108" s="1"/>
      <c r="T108" s="1">
        <v>239.23130327868859</v>
      </c>
      <c r="U108" s="1">
        <v>31.502483606557384</v>
      </c>
      <c r="V108" s="1">
        <v>21.188336065573772</v>
      </c>
      <c r="W108" s="1">
        <v>537.45777777777778</v>
      </c>
      <c r="X108" s="1"/>
      <c r="Y108" s="1"/>
      <c r="Z108" s="1">
        <v>219.03567632850246</v>
      </c>
      <c r="AA108" s="1">
        <v>29.367222222222217</v>
      </c>
      <c r="AB108" s="1">
        <v>17.588586956521738</v>
      </c>
      <c r="AC108" s="1">
        <v>215.32000000000002</v>
      </c>
    </row>
    <row r="109" spans="1:29" x14ac:dyDescent="0.3">
      <c r="A109" t="s">
        <v>17</v>
      </c>
      <c r="B109" s="1">
        <v>250.80192000898268</v>
      </c>
      <c r="C109" s="1">
        <v>32.661606445093199</v>
      </c>
      <c r="D109" s="1">
        <v>20.132913384235344</v>
      </c>
      <c r="E109" s="1">
        <v>892.80299999999988</v>
      </c>
      <c r="F109" s="1"/>
      <c r="G109" s="1"/>
      <c r="H109" s="1">
        <v>256.33749745762714</v>
      </c>
      <c r="I109" s="1">
        <v>31.722367231638419</v>
      </c>
      <c r="J109" s="1">
        <v>17.235087288135595</v>
      </c>
      <c r="K109" s="1">
        <v>1.6E-2</v>
      </c>
      <c r="L109" s="1"/>
      <c r="M109" s="1"/>
      <c r="N109" s="1">
        <v>289.47943478260879</v>
      </c>
      <c r="O109" s="1">
        <v>37.074521739130425</v>
      </c>
      <c r="P109" s="1">
        <v>22.149119565217394</v>
      </c>
      <c r="Q109" s="1">
        <v>133.22499999999999</v>
      </c>
      <c r="R109" s="1"/>
      <c r="S109" s="1"/>
      <c r="T109" s="1">
        <v>238.93143442622949</v>
      </c>
      <c r="U109" s="1">
        <v>31.767303278688523</v>
      </c>
      <c r="V109" s="1">
        <v>21.275704918032787</v>
      </c>
      <c r="W109" s="1">
        <v>552.41777777777759</v>
      </c>
      <c r="X109" s="1"/>
      <c r="Y109" s="1"/>
      <c r="Z109" s="1">
        <v>219.03692028985509</v>
      </c>
      <c r="AA109" s="1">
        <v>29.231195652173913</v>
      </c>
      <c r="AB109" s="1">
        <v>17.500664251207727</v>
      </c>
      <c r="AC109" s="1">
        <v>219.74444444444441</v>
      </c>
    </row>
    <row r="110" spans="1:29" x14ac:dyDescent="0.3">
      <c r="A110" t="s">
        <v>18</v>
      </c>
      <c r="B110" s="1">
        <v>250.52538276068566</v>
      </c>
      <c r="C110" s="1">
        <v>32.64531137061158</v>
      </c>
      <c r="D110" s="1">
        <v>20.136810981360885</v>
      </c>
      <c r="E110" s="1">
        <v>853.98300000000017</v>
      </c>
      <c r="F110" s="1"/>
      <c r="G110" s="1"/>
      <c r="H110" s="1">
        <v>254.77008531073449</v>
      </c>
      <c r="I110" s="1">
        <v>31.964121751412428</v>
      </c>
      <c r="J110" s="1">
        <v>17.332646892655369</v>
      </c>
      <c r="K110" s="1">
        <v>1.3000000000000001E-2</v>
      </c>
      <c r="L110" s="1"/>
      <c r="M110" s="1"/>
      <c r="N110" s="1">
        <v>287.88492391304351</v>
      </c>
      <c r="O110" s="1">
        <v>37.236510869565208</v>
      </c>
      <c r="P110" s="1">
        <v>22.205771739130437</v>
      </c>
      <c r="Q110" s="1">
        <v>118.59199999999998</v>
      </c>
      <c r="R110" s="1"/>
      <c r="S110" s="1"/>
      <c r="T110" s="1">
        <v>239.70763114754101</v>
      </c>
      <c r="U110" s="1">
        <v>31.473221311475406</v>
      </c>
      <c r="V110" s="1">
        <v>21.222114754098364</v>
      </c>
      <c r="W110" s="1">
        <v>543.43111111111114</v>
      </c>
      <c r="X110" s="1"/>
      <c r="Y110" s="1"/>
      <c r="Z110" s="1">
        <v>219.41657004830915</v>
      </c>
      <c r="AA110" s="1">
        <v>29.254009661835752</v>
      </c>
      <c r="AB110" s="1">
        <v>17.454565217391302</v>
      </c>
      <c r="AC110" s="1">
        <v>205.53333333333327</v>
      </c>
    </row>
    <row r="111" spans="1:29" x14ac:dyDescent="0.3">
      <c r="A111" t="s">
        <v>19</v>
      </c>
      <c r="B111" s="1">
        <v>251.07835520622797</v>
      </c>
      <c r="C111" s="1">
        <v>32.607387491578706</v>
      </c>
      <c r="D111" s="1">
        <v>20.090611400553936</v>
      </c>
      <c r="E111" s="1">
        <v>869.13199999999995</v>
      </c>
      <c r="F111" s="1"/>
      <c r="G111" s="1"/>
      <c r="H111" s="1">
        <v>255.96933333333337</v>
      </c>
      <c r="I111" s="1">
        <v>31.647331920903959</v>
      </c>
      <c r="J111" s="1">
        <v>17.081594350282487</v>
      </c>
      <c r="K111" s="1">
        <v>1.4000000000000002E-2</v>
      </c>
      <c r="L111" s="1"/>
      <c r="M111" s="1"/>
      <c r="N111" s="1">
        <v>289.76367391304342</v>
      </c>
      <c r="O111" s="1">
        <v>37.159097826086949</v>
      </c>
      <c r="P111" s="1">
        <v>22.217760869565218</v>
      </c>
      <c r="Q111" s="1">
        <v>118.07299999999998</v>
      </c>
      <c r="R111" s="1"/>
      <c r="S111" s="1"/>
      <c r="T111" s="1">
        <v>239.40396721311481</v>
      </c>
      <c r="U111" s="1">
        <v>31.69401639344262</v>
      </c>
      <c r="V111" s="1">
        <v>21.274672131147543</v>
      </c>
      <c r="W111" s="1">
        <v>555.8077777777778</v>
      </c>
      <c r="X111" s="1"/>
      <c r="Y111" s="1"/>
      <c r="Z111" s="1">
        <v>219.4005072463768</v>
      </c>
      <c r="AA111" s="1">
        <v>29.081787439613532</v>
      </c>
      <c r="AB111" s="1">
        <v>17.330483091787436</v>
      </c>
      <c r="AC111" s="1">
        <v>208.05888888888887</v>
      </c>
    </row>
    <row r="112" spans="1:29" x14ac:dyDescent="0.3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</row>
    <row r="113" spans="1:29" x14ac:dyDescent="0.3">
      <c r="A113" t="s">
        <v>20</v>
      </c>
      <c r="B113" s="1">
        <v>248.35836766225026</v>
      </c>
      <c r="C113" s="1">
        <v>33.569761284527289</v>
      </c>
      <c r="D113" s="1">
        <v>21.81268684781795</v>
      </c>
      <c r="E113" s="1">
        <v>865.94699999999978</v>
      </c>
      <c r="F113" s="1"/>
      <c r="G113" s="1"/>
      <c r="H113" s="1">
        <v>254.63109067796614</v>
      </c>
      <c r="I113" s="1">
        <v>32.943880790960449</v>
      </c>
      <c r="J113" s="1">
        <v>19.474366949152547</v>
      </c>
      <c r="K113" s="1">
        <v>5.3000000000000012E-2</v>
      </c>
      <c r="L113" s="1"/>
      <c r="M113" s="1"/>
      <c r="N113" s="1">
        <v>285.1301195652174</v>
      </c>
      <c r="O113" s="1">
        <v>37.721445652173919</v>
      </c>
      <c r="P113" s="1">
        <v>23.762532608695651</v>
      </c>
      <c r="Q113" s="1">
        <v>165.22000000000003</v>
      </c>
      <c r="R113" s="1"/>
      <c r="S113" s="1"/>
      <c r="T113" s="1">
        <v>237.8677786885246</v>
      </c>
      <c r="U113" s="1">
        <v>32.442663934426228</v>
      </c>
      <c r="V113" s="1">
        <v>22.362073770491797</v>
      </c>
      <c r="W113" s="1">
        <v>404.48333333333329</v>
      </c>
      <c r="X113" s="1"/>
      <c r="Y113" s="1"/>
      <c r="Z113" s="1">
        <v>216.85169082125603</v>
      </c>
      <c r="AA113" s="1">
        <v>30.084166666666665</v>
      </c>
      <c r="AB113" s="1">
        <v>19.716159420289859</v>
      </c>
      <c r="AC113" s="1">
        <v>261.66666666666669</v>
      </c>
    </row>
    <row r="114" spans="1:29" x14ac:dyDescent="0.3">
      <c r="A114" t="s">
        <v>21</v>
      </c>
      <c r="B114" s="1">
        <v>248.99065681562996</v>
      </c>
      <c r="C114" s="1">
        <v>33.360930264241333</v>
      </c>
      <c r="D114" s="1">
        <v>21.562725331237367</v>
      </c>
      <c r="E114" s="1">
        <v>892.76800000000003</v>
      </c>
      <c r="F114" s="1"/>
      <c r="G114" s="1"/>
      <c r="H114" s="1">
        <v>256.0455279661017</v>
      </c>
      <c r="I114" s="1">
        <v>32.45246949152542</v>
      </c>
      <c r="J114" s="1">
        <v>19.049570056497171</v>
      </c>
      <c r="K114" s="1">
        <v>6.200000000000002E-2</v>
      </c>
      <c r="L114" s="1"/>
      <c r="M114" s="1"/>
      <c r="N114" s="1">
        <v>287.0127391304348</v>
      </c>
      <c r="O114" s="1">
        <v>37.472076086956527</v>
      </c>
      <c r="P114" s="1">
        <v>23.571836956521739</v>
      </c>
      <c r="Q114" s="1">
        <v>159.483</v>
      </c>
      <c r="R114" s="1"/>
      <c r="S114" s="1"/>
      <c r="T114" s="1">
        <v>237.51691803278686</v>
      </c>
      <c r="U114" s="1">
        <v>32.506393442622951</v>
      </c>
      <c r="V114" s="1">
        <v>22.198991803278687</v>
      </c>
      <c r="W114" s="1">
        <v>417.62222222222226</v>
      </c>
      <c r="X114" s="1"/>
      <c r="Y114" s="1"/>
      <c r="Z114" s="1">
        <v>216.79798309178742</v>
      </c>
      <c r="AA114" s="1">
        <v>29.729396135265702</v>
      </c>
      <c r="AB114" s="1">
        <v>19.441751207729467</v>
      </c>
      <c r="AC114" s="1">
        <v>275.2255555555555</v>
      </c>
    </row>
    <row r="115" spans="1:29" x14ac:dyDescent="0.3">
      <c r="A115" t="s">
        <v>22</v>
      </c>
      <c r="B115" s="1">
        <v>248.84293801931281</v>
      </c>
      <c r="C115" s="1">
        <v>33.314721012051791</v>
      </c>
      <c r="D115" s="1">
        <v>21.518914132794372</v>
      </c>
      <c r="E115" s="1">
        <v>893.74399999999991</v>
      </c>
      <c r="F115" s="1"/>
      <c r="G115" s="1"/>
      <c r="H115" s="1">
        <v>254.56200593220336</v>
      </c>
      <c r="I115" s="1">
        <v>32.679294067796612</v>
      </c>
      <c r="J115" s="1">
        <v>19.135568361581917</v>
      </c>
      <c r="K115" s="1">
        <v>2.3E-2</v>
      </c>
      <c r="L115" s="1"/>
      <c r="M115" s="1"/>
      <c r="N115" s="1">
        <v>285.78301086956515</v>
      </c>
      <c r="O115" s="1">
        <v>37.607619565217384</v>
      </c>
      <c r="P115" s="1">
        <v>23.517184782608695</v>
      </c>
      <c r="Q115" s="1">
        <v>157.56</v>
      </c>
      <c r="R115" s="1"/>
      <c r="S115" s="1"/>
      <c r="T115" s="1">
        <v>238.43291803278689</v>
      </c>
      <c r="U115" s="1">
        <v>32.13339344262296</v>
      </c>
      <c r="V115" s="1">
        <v>22.091918032786886</v>
      </c>
      <c r="W115" s="1">
        <v>442.96555555555545</v>
      </c>
      <c r="X115" s="1"/>
      <c r="Y115" s="1"/>
      <c r="Z115" s="1">
        <v>217.36370772946853</v>
      </c>
      <c r="AA115" s="1">
        <v>29.767125603864738</v>
      </c>
      <c r="AB115" s="1">
        <v>19.356461352657007</v>
      </c>
      <c r="AC115" s="1">
        <v>253.15222222222221</v>
      </c>
    </row>
    <row r="116" spans="1:29" x14ac:dyDescent="0.3">
      <c r="A116" t="s">
        <v>23</v>
      </c>
      <c r="B116" s="1">
        <v>249.43226483269706</v>
      </c>
      <c r="C116" s="1">
        <v>33.15594451680515</v>
      </c>
      <c r="D116" s="1">
        <v>21.335694333408192</v>
      </c>
      <c r="E116" s="1">
        <v>918.17899999999975</v>
      </c>
      <c r="F116" s="1"/>
      <c r="G116" s="1"/>
      <c r="H116" s="1">
        <v>255.8821460451978</v>
      </c>
      <c r="I116" s="1">
        <v>32.23852146892655</v>
      </c>
      <c r="J116" s="1">
        <v>18.774274858757064</v>
      </c>
      <c r="K116" s="1">
        <v>2.2000000000000002E-2</v>
      </c>
      <c r="L116" s="1"/>
      <c r="M116" s="1"/>
      <c r="N116" s="1">
        <v>287.59246739130447</v>
      </c>
      <c r="O116" s="1">
        <v>37.403608695652181</v>
      </c>
      <c r="P116" s="1">
        <v>23.398173913043479</v>
      </c>
      <c r="Q116" s="1">
        <v>153.94299999999998</v>
      </c>
      <c r="R116" s="1"/>
      <c r="S116" s="1"/>
      <c r="T116" s="1">
        <v>238.07769672131144</v>
      </c>
      <c r="U116" s="1">
        <v>32.242254098360661</v>
      </c>
      <c r="V116" s="1">
        <v>21.99297540983607</v>
      </c>
      <c r="W116" s="1">
        <v>455.56222222222226</v>
      </c>
      <c r="X116" s="1"/>
      <c r="Y116" s="1"/>
      <c r="Z116" s="1">
        <v>217.2649154589372</v>
      </c>
      <c r="AA116" s="1">
        <v>29.475567632850243</v>
      </c>
      <c r="AB116" s="1">
        <v>19.150012077294686</v>
      </c>
      <c r="AC116" s="1">
        <v>262.63888888888886</v>
      </c>
    </row>
    <row r="117" spans="1:29" x14ac:dyDescent="0.3">
      <c r="A117" t="s">
        <v>24</v>
      </c>
      <c r="B117" s="1">
        <v>249.32198104648552</v>
      </c>
      <c r="C117" s="1">
        <v>33.106521708211687</v>
      </c>
      <c r="D117" s="1">
        <v>21.249888636874019</v>
      </c>
      <c r="E117" s="1">
        <v>901.66999999999985</v>
      </c>
      <c r="F117" s="1"/>
      <c r="G117" s="1"/>
      <c r="H117" s="1">
        <v>254.4853110169492</v>
      </c>
      <c r="I117" s="1">
        <v>32.439090395480221</v>
      </c>
      <c r="J117" s="1">
        <v>18.811354237288135</v>
      </c>
      <c r="K117" s="1">
        <v>3.0000000000000006E-2</v>
      </c>
      <c r="L117" s="1"/>
      <c r="M117" s="1"/>
      <c r="N117" s="1">
        <v>286.36096739130443</v>
      </c>
      <c r="O117" s="1">
        <v>37.551652173913048</v>
      </c>
      <c r="P117" s="1">
        <v>23.304673913043477</v>
      </c>
      <c r="Q117" s="1">
        <v>144.29</v>
      </c>
      <c r="R117" s="1"/>
      <c r="S117" s="1"/>
      <c r="T117" s="1">
        <v>239.00172131147536</v>
      </c>
      <c r="U117" s="1">
        <v>31.889672131147542</v>
      </c>
      <c r="V117" s="1">
        <v>21.862614754098367</v>
      </c>
      <c r="W117" s="1">
        <v>469.77111111111117</v>
      </c>
      <c r="X117" s="1"/>
      <c r="Y117" s="1"/>
      <c r="Z117" s="1">
        <v>217.90576086956523</v>
      </c>
      <c r="AA117" s="1">
        <v>29.468442028985507</v>
      </c>
      <c r="AB117" s="1">
        <v>18.997560386473427</v>
      </c>
      <c r="AC117" s="1">
        <v>242.39555555555549</v>
      </c>
    </row>
    <row r="118" spans="1:29" x14ac:dyDescent="0.3">
      <c r="A118" t="s">
        <v>25</v>
      </c>
      <c r="B118" s="1">
        <v>249.86745019836818</v>
      </c>
      <c r="C118" s="1">
        <v>33.093480664720417</v>
      </c>
      <c r="D118" s="1">
        <v>21.22055672580283</v>
      </c>
      <c r="E118" s="1">
        <v>922.69599999999957</v>
      </c>
      <c r="F118" s="1"/>
      <c r="G118" s="1"/>
      <c r="H118" s="1">
        <v>255.7031663841808</v>
      </c>
      <c r="I118" s="1">
        <v>32.146040677966099</v>
      </c>
      <c r="J118" s="1">
        <v>18.603750564971754</v>
      </c>
      <c r="K118" s="1">
        <v>3.3000000000000008E-2</v>
      </c>
      <c r="L118" s="1"/>
      <c r="M118" s="1"/>
      <c r="N118" s="1">
        <v>288.09180434782616</v>
      </c>
      <c r="O118" s="1">
        <v>37.488923913043479</v>
      </c>
      <c r="P118" s="1">
        <v>23.33844565217391</v>
      </c>
      <c r="Q118" s="1">
        <v>142.12300000000002</v>
      </c>
      <c r="R118" s="1"/>
      <c r="S118" s="1"/>
      <c r="T118" s="1">
        <v>238.64766393442619</v>
      </c>
      <c r="U118" s="1">
        <v>32.141073770491808</v>
      </c>
      <c r="V118" s="1">
        <v>21.919524590163935</v>
      </c>
      <c r="W118" s="1">
        <v>481.38</v>
      </c>
      <c r="X118" s="1"/>
      <c r="Y118" s="1"/>
      <c r="Z118" s="1">
        <v>217.77823671497586</v>
      </c>
      <c r="AA118" s="1">
        <v>29.330012077294686</v>
      </c>
      <c r="AB118" s="1">
        <v>18.93943236714976</v>
      </c>
      <c r="AC118" s="1">
        <v>248.10333333333332</v>
      </c>
    </row>
    <row r="119" spans="1:29" x14ac:dyDescent="0.3">
      <c r="A119" t="s">
        <v>26</v>
      </c>
      <c r="B119" s="1">
        <v>249.67973717344117</v>
      </c>
      <c r="C119" s="1">
        <v>33.102004423983828</v>
      </c>
      <c r="D119" s="1">
        <v>21.174354959203534</v>
      </c>
      <c r="E119" s="1">
        <v>880.1840000000002</v>
      </c>
      <c r="F119" s="1"/>
      <c r="G119" s="1"/>
      <c r="H119" s="1">
        <v>254.25395988700561</v>
      </c>
      <c r="I119" s="1">
        <v>32.382419774011296</v>
      </c>
      <c r="J119" s="1">
        <v>18.671542655367233</v>
      </c>
      <c r="K119" s="1">
        <v>3.7999999999999999E-2</v>
      </c>
      <c r="L119" s="1"/>
      <c r="M119" s="1"/>
      <c r="N119" s="1">
        <v>286.66134782608697</v>
      </c>
      <c r="O119" s="1">
        <v>37.704315217391304</v>
      </c>
      <c r="P119" s="1">
        <v>23.294706521739133</v>
      </c>
      <c r="Q119" s="1">
        <v>128.001</v>
      </c>
      <c r="R119" s="1"/>
      <c r="S119" s="1"/>
      <c r="T119" s="1">
        <v>239.53826229508189</v>
      </c>
      <c r="U119" s="1">
        <v>31.870368852459016</v>
      </c>
      <c r="V119" s="1">
        <v>21.8385</v>
      </c>
      <c r="W119" s="1">
        <v>475.75777777777773</v>
      </c>
      <c r="X119" s="1"/>
      <c r="Y119" s="1"/>
      <c r="Z119" s="1">
        <v>218.38842995169082</v>
      </c>
      <c r="AA119" s="1">
        <v>29.349070048309176</v>
      </c>
      <c r="AB119" s="1">
        <v>18.813985507246379</v>
      </c>
      <c r="AC119" s="1">
        <v>229.50777777777779</v>
      </c>
    </row>
    <row r="120" spans="1:29" x14ac:dyDescent="0.3">
      <c r="A120" t="s">
        <v>27</v>
      </c>
      <c r="B120" s="1">
        <v>250.17417782019612</v>
      </c>
      <c r="C120" s="1">
        <v>33.049968635376892</v>
      </c>
      <c r="D120" s="1">
        <v>21.106131237368068</v>
      </c>
      <c r="E120" s="1">
        <v>897.11</v>
      </c>
      <c r="F120" s="1"/>
      <c r="G120" s="1"/>
      <c r="H120" s="1">
        <v>255.35983644067795</v>
      </c>
      <c r="I120" s="1">
        <v>32.054564406779654</v>
      </c>
      <c r="J120" s="1">
        <v>18.425207344632767</v>
      </c>
      <c r="K120" s="1">
        <v>4.9000000000000002E-2</v>
      </c>
      <c r="L120" s="1"/>
      <c r="M120" s="1"/>
      <c r="N120" s="1">
        <v>288.29807608695648</v>
      </c>
      <c r="O120" s="1">
        <v>37.600586956521745</v>
      </c>
      <c r="P120" s="1">
        <v>23.28275</v>
      </c>
      <c r="Q120" s="1">
        <v>126.37700000000002</v>
      </c>
      <c r="R120" s="1"/>
      <c r="S120" s="1"/>
      <c r="T120" s="1">
        <v>239.18259836065576</v>
      </c>
      <c r="U120" s="1">
        <v>32.079385245901634</v>
      </c>
      <c r="V120" s="1">
        <v>21.861524590163931</v>
      </c>
      <c r="W120" s="1">
        <v>485.9522222222223</v>
      </c>
      <c r="X120" s="1"/>
      <c r="Y120" s="1"/>
      <c r="Z120" s="1">
        <v>218.2537077294686</v>
      </c>
      <c r="AA120" s="1">
        <v>29.174299516908214</v>
      </c>
      <c r="AB120" s="1">
        <v>18.707681159420289</v>
      </c>
      <c r="AC120" s="1">
        <v>232.50666666666666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BASE_IN</vt:lpstr>
      <vt:lpstr>FUTURE_IN</vt:lpstr>
      <vt:lpstr>BASE_OUT_AR5</vt:lpstr>
      <vt:lpstr>AR6</vt:lpstr>
      <vt:lpstr>BASE_OUT_AR6</vt:lpstr>
      <vt:lpstr>RCP_OUT</vt:lpstr>
      <vt:lpstr>SSP_OUT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JEEVA</dc:creator>
  <cp:lastModifiedBy>JEEVA</cp:lastModifiedBy>
  <dcterms:created xsi:type="dcterms:W3CDTF">2015-06-05T18:17:20Z</dcterms:created>
  <dcterms:modified xsi:type="dcterms:W3CDTF">2023-04-10T19:55:10Z</dcterms:modified>
</cp:coreProperties>
</file>